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S" sheetId="1" state="visible" r:id="rId2"/>
    <sheet name="cuH" sheetId="2" state="visible" r:id="rId3"/>
    <sheet name="SXR" sheetId="3" state="visible" r:id="rId4"/>
    <sheet name="HXR" sheetId="4" state="visible" r:id="rId5"/>
  </sheets>
  <definedNames>
    <definedName function="false" hidden="false" localSheetId="1" name="_xlnm.Print_Area" vbProcedure="false">cuH!$A$1:$S$37</definedName>
    <definedName function="false" hidden="false" localSheetId="0" name="_xlnm.Print_Area" vbProcedure="false">scS!$A$1:$S$64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<sst xmlns="http://schemas.openxmlformats.org/spreadsheetml/2006/main" count="593" uniqueCount="392">
  <si>
    <t xml:space="preserve">Lsector=</t>
  </si>
  <si>
    <t xml:space="preserve">sector</t>
  </si>
  <si>
    <t xml:space="preserve">froot</t>
  </si>
  <si>
    <t xml:space="preserve">BSY?</t>
  </si>
  <si>
    <t xml:space="preserve">areas</t>
  </si>
  <si>
    <t xml:space="preserve">Zbegin</t>
  </si>
  <si>
    <t xml:space="preserve">Zend</t>
  </si>
  <si>
    <t xml:space="preserve">ΔZ m</t>
  </si>
  <si>
    <t xml:space="preserve">ΔZ ft</t>
  </si>
  <si>
    <t xml:space="preserve">Nbegin</t>
  </si>
  <si>
    <t xml:space="preserve">Nend</t>
  </si>
  <si>
    <t xml:space="preserve">S00</t>
  </si>
  <si>
    <t xml:space="preserve">GUNB/L0B</t>
  </si>
  <si>
    <t xml:space="preserve">BEGGUNB</t>
  </si>
  <si>
    <t xml:space="preserve">linac
coordinates</t>
  </si>
  <si>
    <t xml:space="preserve">S01</t>
  </si>
  <si>
    <t xml:space="preserve">L0B/HTR/DIAG0/COL0/L1B</t>
  </si>
  <si>
    <t xml:space="preserve">S02</t>
  </si>
  <si>
    <t xml:space="preserve">L1B/BC1B/COL1/L2B</t>
  </si>
  <si>
    <t xml:space="preserve">S03</t>
  </si>
  <si>
    <t xml:space="preserve">L2B</t>
  </si>
  <si>
    <t xml:space="preserve">S04</t>
  </si>
  <si>
    <t xml:space="preserve">L2B/BC2B/EMIT2/L3B</t>
  </si>
  <si>
    <t xml:space="preserve">S05</t>
  </si>
  <si>
    <t xml:space="preserve">L3B</t>
  </si>
  <si>
    <t xml:space="preserve">S06</t>
  </si>
  <si>
    <t xml:space="preserve">S07</t>
  </si>
  <si>
    <t xml:space="preserve">L3B/EXT/DOG</t>
  </si>
  <si>
    <t xml:space="preserve">S08</t>
  </si>
  <si>
    <t xml:space="preserve">DOG</t>
  </si>
  <si>
    <t xml:space="preserve">BPN09</t>
  </si>
  <si>
    <t xml:space="preserve">BPN09BEG</t>
  </si>
  <si>
    <t xml:space="preserve">BPN09END</t>
  </si>
  <si>
    <t xml:space="preserve">BPN10</t>
  </si>
  <si>
    <t xml:space="preserve">BPN10BEG</t>
  </si>
  <si>
    <t xml:space="preserve">BPN10END</t>
  </si>
  <si>
    <t xml:space="preserve">BPN11</t>
  </si>
  <si>
    <t xml:space="preserve">BPN11BEG</t>
  </si>
  <si>
    <t xml:space="preserve">BPN11END</t>
  </si>
  <si>
    <t xml:space="preserve">BPN12</t>
  </si>
  <si>
    <t xml:space="preserve">BPN12BEG</t>
  </si>
  <si>
    <t xml:space="preserve">BPN12END</t>
  </si>
  <si>
    <t xml:space="preserve">BPN13</t>
  </si>
  <si>
    <t xml:space="preserve">BPN13BEG</t>
  </si>
  <si>
    <t xml:space="preserve">BPN13END</t>
  </si>
  <si>
    <t xml:space="preserve">BPN14</t>
  </si>
  <si>
    <t xml:space="preserve">BPN14BEG</t>
  </si>
  <si>
    <t xml:space="preserve">BPN14END</t>
  </si>
  <si>
    <t xml:space="preserve">BPN15</t>
  </si>
  <si>
    <t xml:space="preserve">BPN15BEG</t>
  </si>
  <si>
    <t xml:space="preserve">BPN15END</t>
  </si>
  <si>
    <t xml:space="preserve">BPN16</t>
  </si>
  <si>
    <t xml:space="preserve">BPN16BEG</t>
  </si>
  <si>
    <t xml:space="preserve">BPN16END</t>
  </si>
  <si>
    <t xml:space="preserve">BPN17</t>
  </si>
  <si>
    <t xml:space="preserve">BPN17BEG</t>
  </si>
  <si>
    <t xml:space="preserve">BPN17END</t>
  </si>
  <si>
    <t xml:space="preserve">BPN18</t>
  </si>
  <si>
    <t xml:space="preserve">BPN18BEG</t>
  </si>
  <si>
    <t xml:space="preserve">BPN18END</t>
  </si>
  <si>
    <t xml:space="preserve">BPN19</t>
  </si>
  <si>
    <t xml:space="preserve">BPN19BEG</t>
  </si>
  <si>
    <t xml:space="preserve">BPN19END</t>
  </si>
  <si>
    <t xml:space="preserve">BPN20</t>
  </si>
  <si>
    <t xml:space="preserve">BPN20BEG</t>
  </si>
  <si>
    <t xml:space="preserve">BPN20END</t>
  </si>
  <si>
    <t xml:space="preserve">BPN21</t>
  </si>
  <si>
    <t xml:space="preserve">BPN21BEG</t>
  </si>
  <si>
    <t xml:space="preserve">BPN21END</t>
  </si>
  <si>
    <t xml:space="preserve">BPN22</t>
  </si>
  <si>
    <t xml:space="preserve">BPN22BEG</t>
  </si>
  <si>
    <t xml:space="preserve">BPN22END</t>
  </si>
  <si>
    <t xml:space="preserve">BPN23</t>
  </si>
  <si>
    <t xml:space="preserve">BPN23BEG</t>
  </si>
  <si>
    <t xml:space="preserve">BPN23END</t>
  </si>
  <si>
    <t xml:space="preserve">BPN24</t>
  </si>
  <si>
    <t xml:space="preserve">BPN24BEG</t>
  </si>
  <si>
    <t xml:space="preserve">BPN24END</t>
  </si>
  <si>
    <t xml:space="preserve">BPN25</t>
  </si>
  <si>
    <t xml:space="preserve">BPN25BEG</t>
  </si>
  <si>
    <t xml:space="preserve">BPN25END</t>
  </si>
  <si>
    <t xml:space="preserve">BPN26</t>
  </si>
  <si>
    <t xml:space="preserve">BPN26BEG</t>
  </si>
  <si>
    <t xml:space="preserve">BPN26END</t>
  </si>
  <si>
    <t xml:space="preserve">BPN27</t>
  </si>
  <si>
    <t xml:space="preserve">BPN27BEG</t>
  </si>
  <si>
    <t xml:space="preserve">BPN27END</t>
  </si>
  <si>
    <t xml:space="preserve">S28</t>
  </si>
  <si>
    <t xml:space="preserve">BYP/SPD1</t>
  </si>
  <si>
    <t xml:space="preserve">S29</t>
  </si>
  <si>
    <t xml:space="preserve">SPD1/SPS</t>
  </si>
  <si>
    <t xml:space="preserve">ENDSPH</t>
  </si>
  <si>
    <t xml:space="preserve">ENDSPD_3</t>
  </si>
  <si>
    <t xml:space="preserve">BEGDASEL</t>
  </si>
  <si>
    <t xml:space="preserve">S30</t>
  </si>
  <si>
    <t xml:space="preserve">SPS</t>
  </si>
  <si>
    <t xml:space="preserve">ENDSPS</t>
  </si>
  <si>
    <t xml:space="preserve">BEGSLTH</t>
  </si>
  <si>
    <t xml:space="preserve">ENDSLTH</t>
  </si>
  <si>
    <t xml:space="preserve">BEGSLTD</t>
  </si>
  <si>
    <t xml:space="preserve">ENDSLTD</t>
  </si>
  <si>
    <t xml:space="preserve">BSY</t>
  </si>
  <si>
    <t xml:space="preserve">SLTS/BSYS</t>
  </si>
  <si>
    <t xml:space="preserve">BEGSLTS</t>
  </si>
  <si>
    <t xml:space="preserve">ENDBSYS</t>
  </si>
  <si>
    <t xml:space="preserve">BSY
coordinates</t>
  </si>
  <si>
    <t xml:space="preserve">71S</t>
  </si>
  <si>
    <t xml:space="preserve">LTUS</t>
  </si>
  <si>
    <t xml:space="preserve">BEGLTUS</t>
  </si>
  <si>
    <t xml:space="preserve">72S</t>
  </si>
  <si>
    <t xml:space="preserve">73S</t>
  </si>
  <si>
    <t xml:space="preserve">74S</t>
  </si>
  <si>
    <t xml:space="preserve">75S</t>
  </si>
  <si>
    <t xml:space="preserve">76S</t>
  </si>
  <si>
    <t xml:space="preserve">77S</t>
  </si>
  <si>
    <t xml:space="preserve">78S</t>
  </si>
  <si>
    <t xml:space="preserve">79S</t>
  </si>
  <si>
    <t xml:space="preserve">80S</t>
  </si>
  <si>
    <t xml:space="preserve">81S</t>
  </si>
  <si>
    <t xml:space="preserve">82S</t>
  </si>
  <si>
    <t xml:space="preserve">ENDLTUS</t>
  </si>
  <si>
    <t xml:space="preserve">U01S</t>
  </si>
  <si>
    <t xml:space="preserve">SXR</t>
  </si>
  <si>
    <t xml:space="preserve">BEGUNDS</t>
  </si>
  <si>
    <t xml:space="preserve">U02S</t>
  </si>
  <si>
    <t xml:space="preserve">U03S</t>
  </si>
  <si>
    <t xml:space="preserve">U04S</t>
  </si>
  <si>
    <t xml:space="preserve">ENDUNDS</t>
  </si>
  <si>
    <t xml:space="preserve">90S</t>
  </si>
  <si>
    <t xml:space="preserve">UES/DMPS</t>
  </si>
  <si>
    <t xml:space="preserve">BEGDMPS_1</t>
  </si>
  <si>
    <t xml:space="preserve">ENDDMPS_1</t>
  </si>
  <si>
    <t xml:space="preserve">92S</t>
  </si>
  <si>
    <t xml:space="preserve">DMPS</t>
  </si>
  <si>
    <t xml:space="preserve">BEGDMPS_2</t>
  </si>
  <si>
    <t xml:space="preserve">ENDDMPS_2</t>
  </si>
  <si>
    <t xml:space="preserve">91S</t>
  </si>
  <si>
    <t xml:space="preserve">SFTS</t>
  </si>
  <si>
    <t xml:space="preserve">BEGSFTS_1</t>
  </si>
  <si>
    <t xml:space="preserve">ENDSFTS_2</t>
  </si>
  <si>
    <t xml:space="preserve">XTESS</t>
  </si>
  <si>
    <t xml:space="preserve">S2_X</t>
  </si>
  <si>
    <t xml:space="preserve">BEGSXTES_1</t>
  </si>
  <si>
    <t xml:space="preserve">ENDSXTES_2</t>
  </si>
  <si>
    <t xml:space="preserve">STXI</t>
  </si>
  <si>
    <t xml:space="preserve">BEGSXTES_3</t>
  </si>
  <si>
    <t xml:space="preserve">ENDSXTES_3</t>
  </si>
  <si>
    <t xml:space="preserve">STMO</t>
  </si>
  <si>
    <t xml:space="preserve">BEGSXTES_4</t>
  </si>
  <si>
    <t xml:space="preserve">ENDSXTES_4</t>
  </si>
  <si>
    <t xml:space="preserve">ALINE</t>
  </si>
  <si>
    <t xml:space="preserve">ENDBSYA_2</t>
  </si>
  <si>
    <t xml:space="preserve">Notes</t>
  </si>
  <si>
    <t xml:space="preserve">Sector boundaries from "Beamline Boundaries" PRD (LCLSII-2.1-PR-0134-R5)</t>
  </si>
  <si>
    <t xml:space="preserve">S20</t>
  </si>
  <si>
    <t xml:space="preserve">10</t>
  </si>
  <si>
    <t xml:space="preserve">GUN1/GUN2/L0/HTR/EMIT/BX0</t>
  </si>
  <si>
    <t xml:space="preserve">BEGGUN</t>
  </si>
  <si>
    <t xml:space="preserve">ENDDL1_2</t>
  </si>
  <si>
    <t xml:space="preserve">15</t>
  </si>
  <si>
    <t xml:space="preserve">S21</t>
  </si>
  <si>
    <t xml:space="preserve">L1/BC1/L2</t>
  </si>
  <si>
    <t xml:space="preserve">BEGL1</t>
  </si>
  <si>
    <t xml:space="preserve">LI21END</t>
  </si>
  <si>
    <t xml:space="preserve">16</t>
  </si>
  <si>
    <t xml:space="preserve">S22</t>
  </si>
  <si>
    <t xml:space="preserve">L2</t>
  </si>
  <si>
    <t xml:space="preserve">LI22BEG</t>
  </si>
  <si>
    <t xml:space="preserve">LI22END</t>
  </si>
  <si>
    <t xml:space="preserve">S23</t>
  </si>
  <si>
    <t xml:space="preserve">LI23BEG</t>
  </si>
  <si>
    <t xml:space="preserve">LI23END</t>
  </si>
  <si>
    <t xml:space="preserve">S24</t>
  </si>
  <si>
    <t xml:space="preserve">L2/BC2</t>
  </si>
  <si>
    <t xml:space="preserve">LI24BEG</t>
  </si>
  <si>
    <t xml:space="preserve">ENDBC2</t>
  </si>
  <si>
    <t xml:space="preserve">S25</t>
  </si>
  <si>
    <t xml:space="preserve">L3</t>
  </si>
  <si>
    <t xml:space="preserve">BEGL3</t>
  </si>
  <si>
    <t xml:space="preserve">LI25END</t>
  </si>
  <si>
    <t xml:space="preserve">S26</t>
  </si>
  <si>
    <t xml:space="preserve">LI26BEG</t>
  </si>
  <si>
    <t xml:space="preserve">LI26END</t>
  </si>
  <si>
    <t xml:space="preserve">S27</t>
  </si>
  <si>
    <t xml:space="preserve">LI27BEG</t>
  </si>
  <si>
    <t xml:space="preserve">LI27END</t>
  </si>
  <si>
    <t xml:space="preserve">LI28BEG</t>
  </si>
  <si>
    <t xml:space="preserve">LI28END</t>
  </si>
  <si>
    <t xml:space="preserve">LI29BEG</t>
  </si>
  <si>
    <t xml:space="preserve">LI29END</t>
  </si>
  <si>
    <t xml:space="preserve">L3/CLTH0</t>
  </si>
  <si>
    <t xml:space="preserve">LI30BEG</t>
  </si>
  <si>
    <t xml:space="preserve">ENDCLTH_0</t>
  </si>
  <si>
    <t xml:space="preserve">CLTH/BSYH1/BSYH2</t>
  </si>
  <si>
    <t xml:space="preserve">BEGCLTH_1</t>
  </si>
  <si>
    <t xml:space="preserve">ENDBSYH_2</t>
  </si>
  <si>
    <t xml:space="preserve">14</t>
  </si>
  <si>
    <t xml:space="preserve">71H</t>
  </si>
  <si>
    <t xml:space="preserve">LTUH</t>
  </si>
  <si>
    <t xml:space="preserve">BEGLTUH</t>
  </si>
  <si>
    <t xml:space="preserve">72H</t>
  </si>
  <si>
    <t xml:space="preserve">73H</t>
  </si>
  <si>
    <t xml:space="preserve">74H</t>
  </si>
  <si>
    <t xml:space="preserve">75H</t>
  </si>
  <si>
    <t xml:space="preserve">76H</t>
  </si>
  <si>
    <t xml:space="preserve">77H</t>
  </si>
  <si>
    <t xml:space="preserve">78H</t>
  </si>
  <si>
    <t xml:space="preserve">79H</t>
  </si>
  <si>
    <t xml:space="preserve">80H</t>
  </si>
  <si>
    <t xml:space="preserve">81H</t>
  </si>
  <si>
    <t xml:space="preserve">82H</t>
  </si>
  <si>
    <t xml:space="preserve">ENDLTUH</t>
  </si>
  <si>
    <t xml:space="preserve">U01H</t>
  </si>
  <si>
    <t xml:space="preserve">HXR</t>
  </si>
  <si>
    <t xml:space="preserve">BEGUNDH</t>
  </si>
  <si>
    <t xml:space="preserve">U02H</t>
  </si>
  <si>
    <t xml:space="preserve">U03H</t>
  </si>
  <si>
    <t xml:space="preserve">U04H</t>
  </si>
  <si>
    <t xml:space="preserve">ENDUNDH</t>
  </si>
  <si>
    <t xml:space="preserve">90H</t>
  </si>
  <si>
    <t xml:space="preserve">UEH/DMPH</t>
  </si>
  <si>
    <t xml:space="preserve">BEGDMPH_1</t>
  </si>
  <si>
    <t xml:space="preserve">ENDDMPH_1</t>
  </si>
  <si>
    <t xml:space="preserve">92H</t>
  </si>
  <si>
    <t xml:space="preserve">DMPH</t>
  </si>
  <si>
    <t xml:space="preserve">BEGDMPH_2</t>
  </si>
  <si>
    <t xml:space="preserve">ENDDMPH_2</t>
  </si>
  <si>
    <t xml:space="preserve">91H</t>
  </si>
  <si>
    <t xml:space="preserve">SFTH</t>
  </si>
  <si>
    <t xml:space="preserve">BEGSFTH_1</t>
  </si>
  <si>
    <t xml:space="preserve">ENDSFTH_2</t>
  </si>
  <si>
    <t xml:space="preserve">BEGBSYA_1</t>
  </si>
  <si>
    <t xml:space="preserve">XTESH</t>
  </si>
  <si>
    <t xml:space="preserve">HXTES</t>
  </si>
  <si>
    <t xml:space="preserve">BEGHXTES_1</t>
  </si>
  <si>
    <t xml:space="preserve">ENDHXTES_2</t>
  </si>
  <si>
    <t xml:space="preserve">HTXI</t>
  </si>
  <si>
    <t xml:space="preserve">BEGHXTES_3</t>
  </si>
  <si>
    <t xml:space="preserve">ENDHXTES_3</t>
  </si>
  <si>
    <t xml:space="preserve">Undulator Cell</t>
  </si>
  <si>
    <t xml:space="preserve">SXR 16</t>
  </si>
  <si>
    <t xml:space="preserve">SXX cell 16</t>
  </si>
  <si>
    <t xml:space="preserve">SXR extension</t>
  </si>
  <si>
    <t xml:space="preserve">SXR 17</t>
  </si>
  <si>
    <t xml:space="preserve">SXX cell 17</t>
  </si>
  <si>
    <t xml:space="preserve">SXR 18</t>
  </si>
  <si>
    <t xml:space="preserve">SXX cell 18</t>
  </si>
  <si>
    <t xml:space="preserve">SXR 19</t>
  </si>
  <si>
    <t xml:space="preserve">SXX cell 19</t>
  </si>
  <si>
    <t xml:space="preserve">SXR 20</t>
  </si>
  <si>
    <t xml:space="preserve">SXX cell 20</t>
  </si>
  <si>
    <t xml:space="preserve">SXR 21</t>
  </si>
  <si>
    <t xml:space="preserve">SXX cell 21</t>
  </si>
  <si>
    <t xml:space="preserve">SXR 22</t>
  </si>
  <si>
    <t xml:space="preserve">SXX cell 22</t>
  </si>
  <si>
    <t xml:space="preserve">SXR 23</t>
  </si>
  <si>
    <t xml:space="preserve">SXX cell 23</t>
  </si>
  <si>
    <t xml:space="preserve">SXR 24</t>
  </si>
  <si>
    <t xml:space="preserve">SXX cell 24</t>
  </si>
  <si>
    <t xml:space="preserve">SXR 25</t>
  </si>
  <si>
    <t xml:space="preserve">SXX cell 25</t>
  </si>
  <si>
    <t xml:space="preserve">SXR 26</t>
  </si>
  <si>
    <t xml:space="preserve">SXR cell 26</t>
  </si>
  <si>
    <t xml:space="preserve">undulator</t>
  </si>
  <si>
    <t xml:space="preserve">SXR 27</t>
  </si>
  <si>
    <t xml:space="preserve">SXR cell 27</t>
  </si>
  <si>
    <t xml:space="preserve">SXR 28</t>
  </si>
  <si>
    <t xml:space="preserve">SXR cell 28</t>
  </si>
  <si>
    <t xml:space="preserve">SXR 29</t>
  </si>
  <si>
    <t xml:space="preserve">SXR cell 29</t>
  </si>
  <si>
    <t xml:space="preserve">SXR 30</t>
  </si>
  <si>
    <t xml:space="preserve">SXR cell 30</t>
  </si>
  <si>
    <t xml:space="preserve">SXR 31</t>
  </si>
  <si>
    <t xml:space="preserve">SXR cell 31</t>
  </si>
  <si>
    <t xml:space="preserve">SXR 32</t>
  </si>
  <si>
    <t xml:space="preserve">SXR cell 32</t>
  </si>
  <si>
    <t xml:space="preserve">SXR 33</t>
  </si>
  <si>
    <t xml:space="preserve">SXR cell 33</t>
  </si>
  <si>
    <t xml:space="preserve">SXR 34</t>
  </si>
  <si>
    <t xml:space="preserve">SXR cell 34</t>
  </si>
  <si>
    <t xml:space="preserve">SXR 35</t>
  </si>
  <si>
    <t xml:space="preserve">SXR cell 35</t>
  </si>
  <si>
    <t xml:space="preserve">SXRSS chicane</t>
  </si>
  <si>
    <t xml:space="preserve">SXR 36</t>
  </si>
  <si>
    <t xml:space="preserve">SXR cell 36</t>
  </si>
  <si>
    <t xml:space="preserve">SXR 37</t>
  </si>
  <si>
    <t xml:space="preserve">SXR cell 37</t>
  </si>
  <si>
    <t xml:space="preserve">SXR 38</t>
  </si>
  <si>
    <t xml:space="preserve">SXR cell 38</t>
  </si>
  <si>
    <t xml:space="preserve">SXR 39</t>
  </si>
  <si>
    <t xml:space="preserve">SXR cell 39</t>
  </si>
  <si>
    <t xml:space="preserve">SXR 40</t>
  </si>
  <si>
    <t xml:space="preserve">SXR cell 40</t>
  </si>
  <si>
    <t xml:space="preserve">SXR 41</t>
  </si>
  <si>
    <t xml:space="preserve">SXR cell 41</t>
  </si>
  <si>
    <t xml:space="preserve">SXR 42</t>
  </si>
  <si>
    <t xml:space="preserve">SXR cell 42</t>
  </si>
  <si>
    <t xml:space="preserve">SXR 43</t>
  </si>
  <si>
    <t xml:space="preserve">SXR cell 43</t>
  </si>
  <si>
    <t xml:space="preserve">SXR 44</t>
  </si>
  <si>
    <t xml:space="preserve">SXR cell 44</t>
  </si>
  <si>
    <t xml:space="preserve">SXR 45</t>
  </si>
  <si>
    <t xml:space="preserve">SXR cell 45</t>
  </si>
  <si>
    <t xml:space="preserve">SXR 46</t>
  </si>
  <si>
    <t xml:space="preserve">SXR cell 46</t>
  </si>
  <si>
    <t xml:space="preserve">SXR 47</t>
  </si>
  <si>
    <t xml:space="preserve">SXR cell 47</t>
  </si>
  <si>
    <t xml:space="preserve">SXR 48</t>
  </si>
  <si>
    <t xml:space="preserve">SXR cell 48</t>
  </si>
  <si>
    <t xml:space="preserve">future</t>
  </si>
  <si>
    <t xml:space="preserve">SXR 49</t>
  </si>
  <si>
    <t xml:space="preserve">SXR cell 49</t>
  </si>
  <si>
    <t xml:space="preserve">SXR 50</t>
  </si>
  <si>
    <t xml:space="preserve">SXR cell 50</t>
  </si>
  <si>
    <t xml:space="preserve">HXR 13</t>
  </si>
  <si>
    <t xml:space="preserve">HXR cell 13</t>
  </si>
  <si>
    <t xml:space="preserve">HXR 14</t>
  </si>
  <si>
    <t xml:space="preserve">HXR cell 14</t>
  </si>
  <si>
    <t xml:space="preserve">HXR 15</t>
  </si>
  <si>
    <t xml:space="preserve">HXR cell 15</t>
  </si>
  <si>
    <t xml:space="preserve">HXR 16</t>
  </si>
  <si>
    <t xml:space="preserve">HXR cell 16</t>
  </si>
  <si>
    <t xml:space="preserve">HXR 17</t>
  </si>
  <si>
    <t xml:space="preserve">HXR cell 17</t>
  </si>
  <si>
    <t xml:space="preserve">HXR 18</t>
  </si>
  <si>
    <t xml:space="preserve">HXR cell 18</t>
  </si>
  <si>
    <t xml:space="preserve">HXR 19</t>
  </si>
  <si>
    <t xml:space="preserve">HXR cell 19</t>
  </si>
  <si>
    <t xml:space="preserve">HXR 20</t>
  </si>
  <si>
    <t xml:space="preserve">HXR cell 20</t>
  </si>
  <si>
    <t xml:space="preserve">HXR 21</t>
  </si>
  <si>
    <t xml:space="preserve">HXR cell 21</t>
  </si>
  <si>
    <t xml:space="preserve">CBXFEL chicane #2</t>
  </si>
  <si>
    <t xml:space="preserve">HXR 22</t>
  </si>
  <si>
    <t xml:space="preserve">HXR cell 22</t>
  </si>
  <si>
    <t xml:space="preserve">HXR 23</t>
  </si>
  <si>
    <t xml:space="preserve">HXR cell 23</t>
  </si>
  <si>
    <t xml:space="preserve">HXR 24</t>
  </si>
  <si>
    <t xml:space="preserve">HXR cell 24</t>
  </si>
  <si>
    <t xml:space="preserve">HXR 25</t>
  </si>
  <si>
    <t xml:space="preserve">HXR cell 25</t>
  </si>
  <si>
    <t xml:space="preserve">HXR 26</t>
  </si>
  <si>
    <t xml:space="preserve">HXR cell 26</t>
  </si>
  <si>
    <t xml:space="preserve">HXR 27</t>
  </si>
  <si>
    <t xml:space="preserve">HXR cell 27</t>
  </si>
  <si>
    <t xml:space="preserve">HXR 28</t>
  </si>
  <si>
    <t xml:space="preserve">HXR cell 28</t>
  </si>
  <si>
    <t xml:space="preserve">HXRSS chicane</t>
  </si>
  <si>
    <t xml:space="preserve">HXR 29</t>
  </si>
  <si>
    <t xml:space="preserve">HXR cell 29</t>
  </si>
  <si>
    <t xml:space="preserve">HXR 30</t>
  </si>
  <si>
    <t xml:space="preserve">HXR cell 30</t>
  </si>
  <si>
    <t xml:space="preserve">HXR 31</t>
  </si>
  <si>
    <t xml:space="preserve">HXR cell 31</t>
  </si>
  <si>
    <t xml:space="preserve">HXR 32</t>
  </si>
  <si>
    <t xml:space="preserve">HXR cell 32</t>
  </si>
  <si>
    <t xml:space="preserve">HXR 33</t>
  </si>
  <si>
    <t xml:space="preserve">HXR cell 33</t>
  </si>
  <si>
    <t xml:space="preserve">HXR 34</t>
  </si>
  <si>
    <t xml:space="preserve">HXR cell 34</t>
  </si>
  <si>
    <t xml:space="preserve">HXR 35</t>
  </si>
  <si>
    <t xml:space="preserve">HXR cell 35</t>
  </si>
  <si>
    <t xml:space="preserve">HXR 36</t>
  </si>
  <si>
    <t xml:space="preserve">HXR cell 36</t>
  </si>
  <si>
    <t xml:space="preserve">HXR 37</t>
  </si>
  <si>
    <t xml:space="preserve">HXR cell 37</t>
  </si>
  <si>
    <t xml:space="preserve">HXR 38</t>
  </si>
  <si>
    <t xml:space="preserve">HXR cell 38</t>
  </si>
  <si>
    <t xml:space="preserve">HXR 39</t>
  </si>
  <si>
    <t xml:space="preserve">HXR cell 39</t>
  </si>
  <si>
    <t xml:space="preserve">HXR 40</t>
  </si>
  <si>
    <t xml:space="preserve">HXR cell 40</t>
  </si>
  <si>
    <t xml:space="preserve">HXR 41</t>
  </si>
  <si>
    <t xml:space="preserve">HXR cell 41</t>
  </si>
  <si>
    <t xml:space="preserve">HXR 42</t>
  </si>
  <si>
    <t xml:space="preserve">HXR cell 42</t>
  </si>
  <si>
    <t xml:space="preserve">HXR 43</t>
  </si>
  <si>
    <t xml:space="preserve">HXR cell 43</t>
  </si>
  <si>
    <t xml:space="preserve">HXR 44</t>
  </si>
  <si>
    <t xml:space="preserve">HXR cell 44</t>
  </si>
  <si>
    <t xml:space="preserve">HXR 45</t>
  </si>
  <si>
    <t xml:space="preserve">HXR cell 45</t>
  </si>
  <si>
    <t xml:space="preserve">HXR 46</t>
  </si>
  <si>
    <t xml:space="preserve">HXR cell 46</t>
  </si>
  <si>
    <t xml:space="preserve">HXR 47</t>
  </si>
  <si>
    <t xml:space="preserve">HXR cell 47</t>
  </si>
  <si>
    <t xml:space="preserve">HXR 48</t>
  </si>
  <si>
    <t xml:space="preserve">HXR cell 48</t>
  </si>
  <si>
    <t xml:space="preserve">HXR 49</t>
  </si>
  <si>
    <t xml:space="preserve">HXR cell 49</t>
  </si>
  <si>
    <t xml:space="preserve">HXR 50</t>
  </si>
  <si>
    <t xml:space="preserve">HXR cell 50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</si>
</sst>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0000"/>
    <numFmt numFmtId="168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72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35" activeCellId="0" sqref="B35"/>
    </sheetView>
  </sheetViews>
  <sheetFormatPr defaultColWidth="8.5820312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7.57"/>
    <col collapsed="false" customWidth="true" hidden="false" outlineLevel="0" max="3" min="3" style="1" width="5.14"/>
    <col collapsed="false" customWidth="true" hidden="false" outlineLevel="0" max="4" min="4" style="1" width="24.14"/>
    <col collapsed="false" customWidth="true" hidden="false" outlineLevel="0" max="5" min="5" style="1" width="9"/>
    <col collapsed="false" customWidth="true" hidden="false" outlineLevel="0" max="6" min="6" style="2" width="15.95"/>
    <col collapsed="false" customWidth="true" hidden="false" outlineLevel="0" max="8" min="7" style="0" width="7.57"/>
    <col collapsed="false" customWidth="true" hidden="false" outlineLevel="0" max="9" min="9" style="1" width="71.87"/>
    <col collapsed="false" customWidth="true" hidden="false" outlineLevel="0" max="10" min="10" style="1" width="60.46"/>
    <col collapsed="false" customWidth="true" hidden="false" outlineLevel="0" max="11" min="11" style="0" width="11.42"/>
    <col collapsed="false" customWidth="true" hidden="false" outlineLevel="0" max="12" min="12" style="1" width="5.27"/>
    <col collapsed="false" customWidth="true" hidden="false" outlineLevel="0" max="13" min="13" style="1" width="4.28"/>
    <col collapsed="false" customWidth="true" hidden="false" outlineLevel="0" max="15" min="14" style="3" width="7.57"/>
    <col collapsed="false" customWidth="true" hidden="false" outlineLevel="0" max="16" min="16" style="3" width="6.57"/>
    <col collapsed="false" customWidth="true" hidden="false" outlineLevel="0" max="17" min="17" style="3" width="7.57"/>
    <col collapsed="false" customWidth="true" hidden="false" outlineLevel="0" max="18" min="18" style="1" width="7.73"/>
    <col collapsed="false" customWidth="true" hidden="false" outlineLevel="0" max="19" min="19" style="1" width="6.71"/>
  </cols>
  <sheetData>
    <row r="1" customFormat="false" ht="15" hidden="false" customHeight="false" outlineLevel="0" collapsed="false">
      <c r="A1" s="1" t="s">
        <v>0</v>
      </c>
      <c r="B1" s="4" t="n">
        <v>101.6</v>
      </c>
      <c r="G1" s="2"/>
      <c r="H1" s="5"/>
    </row>
    <row r="2" customFormat="false" ht="15" hidden="false" customHeight="false" outlineLevel="0" collapsed="false">
      <c r="E2" s="6"/>
      <c r="G2" s="2"/>
      <c r="H2" s="5"/>
    </row>
    <row r="3" customFormat="false" ht="15.75" hidden="false" customHeight="false" outlineLevel="0" collapsed="false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9" t="s">
        <v>7</v>
      </c>
      <c r="H3" s="10" t="s">
        <v>8</v>
      </c>
      <c r="I3" s="7" t="s">
        <v>9</v>
      </c>
      <c r="J3" s="7" t="s">
        <v>10</v>
      </c>
      <c r="K3" s="11"/>
    </row>
    <row r="4" customFormat="false" ht="15" hidden="false" customHeight="true" outlineLevel="0" collapsed="false">
      <c r="A4" s="1" t="s">
        <v>11</v>
      </c>
      <c r="B4" s="1" t="n">
        <v>1</v>
      </c>
      <c r="C4" s="1" t="n">
        <v>0</v>
      </c>
      <c r="D4" s="1" t="s">
        <v>12</v>
      </c>
      <c r="E4" s="2" t="n">
        <v>-10.15</v>
      </c>
      <c r="F4" s="2" t="n">
        <v>0</v>
      </c>
      <c r="G4" s="2" t="n">
        <f aca="false">F4-E4</f>
        <v>10.15</v>
      </c>
      <c r="H4" s="5" t="n">
        <f aca="false">G4/0.3048</f>
        <v>33.3005249343832</v>
      </c>
      <c r="I4" s="1" t="s">
        <v>13</v>
      </c>
      <c r="K4" s="12" t="s">
        <v>14</v>
      </c>
      <c r="L4" s="1" t="n">
        <v>1</v>
      </c>
    </row>
    <row r="5" customFormat="false" ht="13.8" hidden="false" customHeight="false" outlineLevel="0" collapsed="false">
      <c r="A5" s="1" t="s">
        <v>15</v>
      </c>
      <c r="B5" s="1" t="n">
        <v>1</v>
      </c>
      <c r="C5" s="1" t="n">
        <v>0</v>
      </c>
      <c r="D5" s="1" t="s">
        <v>16</v>
      </c>
      <c r="E5" s="2" t="n">
        <f aca="false">F4</f>
        <v>0</v>
      </c>
      <c r="F5" s="2" t="n">
        <f aca="false">1*B1</f>
        <v>101.6</v>
      </c>
      <c r="G5" s="2" t="n">
        <f aca="false">F5-E5</f>
        <v>101.6</v>
      </c>
      <c r="H5" s="5" t="n">
        <f aca="false">G5/0.3048</f>
        <v>333.333333333333</v>
      </c>
      <c r="K5" s="12"/>
      <c r="L5" s="1" t="n">
        <v>2</v>
      </c>
    </row>
    <row r="6" customFormat="false" ht="13.8" hidden="false" customHeight="false" outlineLevel="0" collapsed="false">
      <c r="A6" s="1" t="s">
        <v>15</v>
      </c>
      <c r="B6" s="1" t="n">
        <v>7</v>
      </c>
      <c r="C6" s="1" t="n">
        <v>0</v>
      </c>
      <c r="D6" s="1" t="s">
        <v>16</v>
      </c>
      <c r="E6" s="2" t="n">
        <f aca="false">F4</f>
        <v>0</v>
      </c>
      <c r="F6" s="2" t="n">
        <f aca="false">1*B1</f>
        <v>101.6</v>
      </c>
      <c r="G6" s="2" t="n">
        <f aca="false">F6-E6</f>
        <v>101.6</v>
      </c>
      <c r="H6" s="5" t="n">
        <f aca="false">G6/0.3048</f>
        <v>333.333333333333</v>
      </c>
      <c r="K6" s="12"/>
      <c r="L6" s="1" t="n">
        <v>2</v>
      </c>
    </row>
    <row r="7" customFormat="false" ht="13.8" hidden="false" customHeight="false" outlineLevel="0" collapsed="false">
      <c r="A7" s="1" t="s">
        <v>17</v>
      </c>
      <c r="B7" s="1" t="n">
        <v>1</v>
      </c>
      <c r="C7" s="1" t="n">
        <v>0</v>
      </c>
      <c r="D7" s="1" t="s">
        <v>18</v>
      </c>
      <c r="E7" s="2" t="n">
        <f aca="false">F5</f>
        <v>101.6</v>
      </c>
      <c r="F7" s="2" t="n">
        <f aca="false">2*B1</f>
        <v>203.2</v>
      </c>
      <c r="G7" s="2" t="n">
        <f aca="false">F7-E7</f>
        <v>101.6</v>
      </c>
      <c r="H7" s="5" t="n">
        <f aca="false">G7/0.3048</f>
        <v>333.333333333333</v>
      </c>
      <c r="K7" s="12"/>
      <c r="L7" s="1" t="n">
        <v>3</v>
      </c>
    </row>
    <row r="8" customFormat="false" ht="13.8" hidden="false" customHeight="false" outlineLevel="0" collapsed="false">
      <c r="A8" s="1" t="s">
        <v>19</v>
      </c>
      <c r="B8" s="1" t="n">
        <v>1</v>
      </c>
      <c r="C8" s="1" t="n">
        <v>0</v>
      </c>
      <c r="D8" s="1" t="s">
        <v>20</v>
      </c>
      <c r="E8" s="2" t="n">
        <f aca="false">F7</f>
        <v>203.2</v>
      </c>
      <c r="F8" s="2" t="n">
        <f aca="false">3*B1</f>
        <v>304.8</v>
      </c>
      <c r="G8" s="2" t="n">
        <f aca="false">F8-E8</f>
        <v>101.6</v>
      </c>
      <c r="H8" s="5" t="n">
        <f aca="false">G8/0.3048</f>
        <v>333.333333333333</v>
      </c>
      <c r="K8" s="12"/>
      <c r="L8" s="1" t="n">
        <v>4</v>
      </c>
    </row>
    <row r="9" customFormat="false" ht="13.8" hidden="false" customHeight="false" outlineLevel="0" collapsed="false">
      <c r="A9" s="1" t="s">
        <v>21</v>
      </c>
      <c r="B9" s="1" t="n">
        <v>1</v>
      </c>
      <c r="C9" s="1" t="n">
        <v>0</v>
      </c>
      <c r="D9" s="1" t="s">
        <v>22</v>
      </c>
      <c r="E9" s="2" t="n">
        <f aca="false">F8</f>
        <v>304.8</v>
      </c>
      <c r="F9" s="2" t="n">
        <f aca="false">4*B1</f>
        <v>406.4</v>
      </c>
      <c r="G9" s="2" t="n">
        <f aca="false">F9-E9</f>
        <v>101.6</v>
      </c>
      <c r="H9" s="5" t="n">
        <f aca="false">G9/0.3048</f>
        <v>333.333333333333</v>
      </c>
      <c r="K9" s="12"/>
      <c r="L9" s="1" t="n">
        <v>5</v>
      </c>
    </row>
    <row r="10" customFormat="false" ht="13.8" hidden="false" customHeight="false" outlineLevel="0" collapsed="false">
      <c r="A10" s="1" t="s">
        <v>23</v>
      </c>
      <c r="B10" s="1" t="n">
        <v>1</v>
      </c>
      <c r="C10" s="1" t="n">
        <v>0</v>
      </c>
      <c r="D10" s="1" t="s">
        <v>24</v>
      </c>
      <c r="E10" s="2" t="n">
        <f aca="false">F9</f>
        <v>406.4</v>
      </c>
      <c r="F10" s="2" t="n">
        <f aca="false">5*B1</f>
        <v>508</v>
      </c>
      <c r="G10" s="2" t="n">
        <f aca="false">F10-E10</f>
        <v>101.6</v>
      </c>
      <c r="H10" s="5" t="n">
        <f aca="false">G10/0.3048</f>
        <v>333.333333333333</v>
      </c>
      <c r="K10" s="12"/>
      <c r="L10" s="1" t="n">
        <v>6</v>
      </c>
    </row>
    <row r="11" customFormat="false" ht="13.8" hidden="false" customHeight="false" outlineLevel="0" collapsed="false">
      <c r="A11" s="1" t="s">
        <v>25</v>
      </c>
      <c r="B11" s="1" t="n">
        <v>1</v>
      </c>
      <c r="C11" s="1" t="n">
        <v>0</v>
      </c>
      <c r="D11" s="1" t="s">
        <v>24</v>
      </c>
      <c r="E11" s="2" t="n">
        <f aca="false">F10</f>
        <v>508</v>
      </c>
      <c r="F11" s="2" t="n">
        <f aca="false">6*B1</f>
        <v>609.6</v>
      </c>
      <c r="G11" s="2" t="n">
        <f aca="false">F11-E11</f>
        <v>101.6</v>
      </c>
      <c r="H11" s="5" t="n">
        <f aca="false">G11/0.3048</f>
        <v>333.333333333333</v>
      </c>
      <c r="K11" s="12"/>
      <c r="L11" s="1" t="n">
        <v>7</v>
      </c>
    </row>
    <row r="12" customFormat="false" ht="13.8" hidden="false" customHeight="false" outlineLevel="0" collapsed="false">
      <c r="A12" s="1" t="s">
        <v>26</v>
      </c>
      <c r="B12" s="1" t="n">
        <v>1</v>
      </c>
      <c r="C12" s="1" t="n">
        <v>0</v>
      </c>
      <c r="D12" s="1" t="s">
        <v>27</v>
      </c>
      <c r="E12" s="2" t="n">
        <f aca="false">F11</f>
        <v>609.6</v>
      </c>
      <c r="F12" s="2" t="n">
        <f aca="false">7*B1</f>
        <v>711.2</v>
      </c>
      <c r="G12" s="2" t="n">
        <f aca="false">F12-E12</f>
        <v>101.6</v>
      </c>
      <c r="H12" s="5" t="n">
        <f aca="false">G12/0.3048</f>
        <v>333.333333333333</v>
      </c>
      <c r="K12" s="12"/>
      <c r="L12" s="1" t="n">
        <v>8</v>
      </c>
    </row>
    <row r="13" customFormat="false" ht="13.8" hidden="false" customHeight="false" outlineLevel="0" collapsed="false">
      <c r="A13" s="1" t="s">
        <v>28</v>
      </c>
      <c r="B13" s="1" t="n">
        <v>1</v>
      </c>
      <c r="C13" s="1" t="n">
        <v>0</v>
      </c>
      <c r="D13" s="1" t="s">
        <v>29</v>
      </c>
      <c r="E13" s="2" t="n">
        <f aca="false">F12</f>
        <v>711.2</v>
      </c>
      <c r="F13" s="2" t="n">
        <f aca="false">8*B1</f>
        <v>812.8</v>
      </c>
      <c r="G13" s="2" t="n">
        <f aca="false">F13-E13</f>
        <v>101.6</v>
      </c>
      <c r="H13" s="5" t="n">
        <f aca="false">G13/0.3048</f>
        <v>333.333333333333</v>
      </c>
      <c r="K13" s="12"/>
      <c r="L13" s="1" t="n">
        <v>9</v>
      </c>
    </row>
    <row r="14" customFormat="false" ht="13.8" hidden="false" customHeight="false" outlineLevel="0" collapsed="false">
      <c r="A14" s="13" t="s">
        <v>30</v>
      </c>
      <c r="B14" s="1" t="n">
        <v>1</v>
      </c>
      <c r="C14" s="1" t="n">
        <v>0</v>
      </c>
      <c r="D14" s="13" t="s">
        <v>30</v>
      </c>
      <c r="E14" s="2" t="n">
        <f aca="false">F13</f>
        <v>812.8</v>
      </c>
      <c r="F14" s="2" t="n">
        <f aca="false">9*B1</f>
        <v>914.4</v>
      </c>
      <c r="G14" s="2" t="n">
        <f aca="false">F14-E14</f>
        <v>101.6</v>
      </c>
      <c r="H14" s="5" t="n">
        <f aca="false">G14/0.3048</f>
        <v>333.333333333333</v>
      </c>
      <c r="I14" s="13" t="s">
        <v>31</v>
      </c>
      <c r="J14" s="13" t="s">
        <v>32</v>
      </c>
      <c r="K14" s="12"/>
      <c r="L14" s="1" t="n">
        <v>10</v>
      </c>
    </row>
    <row r="15" customFormat="false" ht="13.8" hidden="false" customHeight="false" outlineLevel="0" collapsed="false">
      <c r="A15" s="13" t="s">
        <v>33</v>
      </c>
      <c r="B15" s="1" t="n">
        <v>1</v>
      </c>
      <c r="C15" s="1" t="n">
        <v>0</v>
      </c>
      <c r="D15" s="13" t="s">
        <v>33</v>
      </c>
      <c r="E15" s="2" t="n">
        <f aca="false">F14</f>
        <v>914.4</v>
      </c>
      <c r="F15" s="2" t="n">
        <f aca="false">10*B1</f>
        <v>1016</v>
      </c>
      <c r="G15" s="2" t="n">
        <f aca="false">F15-E15</f>
        <v>101.6</v>
      </c>
      <c r="H15" s="5" t="n">
        <f aca="false">G15/0.3048</f>
        <v>333.333333333333</v>
      </c>
      <c r="I15" s="13" t="s">
        <v>34</v>
      </c>
      <c r="J15" s="13" t="s">
        <v>35</v>
      </c>
      <c r="K15" s="12"/>
      <c r="L15" s="1" t="n">
        <v>11</v>
      </c>
    </row>
    <row r="16" customFormat="false" ht="13.8" hidden="false" customHeight="false" outlineLevel="0" collapsed="false">
      <c r="A16" s="13" t="s">
        <v>36</v>
      </c>
      <c r="B16" s="1" t="n">
        <v>1</v>
      </c>
      <c r="C16" s="1" t="n">
        <v>0</v>
      </c>
      <c r="D16" s="13" t="s">
        <v>36</v>
      </c>
      <c r="E16" s="2" t="n">
        <f aca="false">F15</f>
        <v>1016</v>
      </c>
      <c r="F16" s="2" t="n">
        <f aca="false">11*B1</f>
        <v>1117.6</v>
      </c>
      <c r="G16" s="2" t="n">
        <f aca="false">F16-E16</f>
        <v>101.6</v>
      </c>
      <c r="H16" s="5" t="n">
        <f aca="false">G16/0.3048</f>
        <v>333.333333333333</v>
      </c>
      <c r="I16" s="13" t="s">
        <v>37</v>
      </c>
      <c r="J16" s="13" t="s">
        <v>38</v>
      </c>
      <c r="K16" s="12"/>
      <c r="L16" s="1" t="n">
        <v>12</v>
      </c>
    </row>
    <row r="17" customFormat="false" ht="13.8" hidden="false" customHeight="false" outlineLevel="0" collapsed="false">
      <c r="A17" s="13" t="s">
        <v>39</v>
      </c>
      <c r="B17" s="1" t="n">
        <v>1</v>
      </c>
      <c r="C17" s="1" t="n">
        <v>0</v>
      </c>
      <c r="D17" s="13" t="s">
        <v>39</v>
      </c>
      <c r="E17" s="2" t="n">
        <f aca="false">F16</f>
        <v>1117.6</v>
      </c>
      <c r="F17" s="2" t="n">
        <f aca="false">12*B1</f>
        <v>1219.2</v>
      </c>
      <c r="G17" s="2" t="n">
        <f aca="false">F17-E17</f>
        <v>101.6</v>
      </c>
      <c r="H17" s="5" t="n">
        <f aca="false">G17/0.3048</f>
        <v>333.333333333333</v>
      </c>
      <c r="I17" s="13" t="s">
        <v>40</v>
      </c>
      <c r="J17" s="13" t="s">
        <v>41</v>
      </c>
      <c r="K17" s="12"/>
      <c r="L17" s="1" t="n">
        <v>13</v>
      </c>
    </row>
    <row r="18" customFormat="false" ht="13.8" hidden="false" customHeight="false" outlineLevel="0" collapsed="false">
      <c r="A18" s="13" t="s">
        <v>42</v>
      </c>
      <c r="B18" s="1" t="n">
        <v>1</v>
      </c>
      <c r="C18" s="1" t="n">
        <v>0</v>
      </c>
      <c r="D18" s="13" t="s">
        <v>42</v>
      </c>
      <c r="E18" s="2" t="n">
        <f aca="false">F17</f>
        <v>1219.2</v>
      </c>
      <c r="F18" s="2" t="n">
        <f aca="false">13*B1</f>
        <v>1320.8</v>
      </c>
      <c r="G18" s="2" t="n">
        <f aca="false">F18-E18</f>
        <v>101.6</v>
      </c>
      <c r="H18" s="5" t="n">
        <f aca="false">G18/0.3048</f>
        <v>333.333333333334</v>
      </c>
      <c r="I18" s="13" t="s">
        <v>43</v>
      </c>
      <c r="J18" s="13" t="s">
        <v>44</v>
      </c>
      <c r="K18" s="12"/>
      <c r="L18" s="1" t="n">
        <v>14</v>
      </c>
    </row>
    <row r="19" customFormat="false" ht="13.8" hidden="false" customHeight="false" outlineLevel="0" collapsed="false">
      <c r="A19" s="13" t="s">
        <v>45</v>
      </c>
      <c r="B19" s="1" t="n">
        <v>1</v>
      </c>
      <c r="C19" s="1" t="n">
        <v>0</v>
      </c>
      <c r="D19" s="13" t="s">
        <v>45</v>
      </c>
      <c r="E19" s="2" t="n">
        <f aca="false">F18</f>
        <v>1320.8</v>
      </c>
      <c r="F19" s="2" t="n">
        <f aca="false">14*B1</f>
        <v>1422.4</v>
      </c>
      <c r="G19" s="2" t="n">
        <f aca="false">F19-E19</f>
        <v>101.6</v>
      </c>
      <c r="H19" s="5" t="n">
        <f aca="false">G19/0.3048</f>
        <v>333.333333333333</v>
      </c>
      <c r="I19" s="13" t="s">
        <v>46</v>
      </c>
      <c r="J19" s="13" t="s">
        <v>47</v>
      </c>
      <c r="K19" s="12"/>
      <c r="L19" s="1" t="n">
        <v>15</v>
      </c>
    </row>
    <row r="20" customFormat="false" ht="13.8" hidden="false" customHeight="false" outlineLevel="0" collapsed="false">
      <c r="A20" s="13" t="s">
        <v>48</v>
      </c>
      <c r="B20" s="1" t="n">
        <v>1</v>
      </c>
      <c r="C20" s="1" t="n">
        <v>0</v>
      </c>
      <c r="D20" s="13" t="s">
        <v>48</v>
      </c>
      <c r="E20" s="2" t="n">
        <f aca="false">F19</f>
        <v>1422.4</v>
      </c>
      <c r="F20" s="2" t="n">
        <f aca="false">15*B1</f>
        <v>1524</v>
      </c>
      <c r="G20" s="2" t="n">
        <f aca="false">F20-E20</f>
        <v>101.6</v>
      </c>
      <c r="H20" s="5" t="n">
        <f aca="false">G20/0.3048</f>
        <v>333.333333333334</v>
      </c>
      <c r="I20" s="13" t="s">
        <v>49</v>
      </c>
      <c r="J20" s="13" t="s">
        <v>50</v>
      </c>
      <c r="K20" s="12"/>
      <c r="L20" s="1" t="n">
        <v>16</v>
      </c>
    </row>
    <row r="21" customFormat="false" ht="13.8" hidden="false" customHeight="false" outlineLevel="0" collapsed="false">
      <c r="A21" s="13" t="s">
        <v>51</v>
      </c>
      <c r="B21" s="1" t="n">
        <v>1</v>
      </c>
      <c r="C21" s="1" t="n">
        <v>0</v>
      </c>
      <c r="D21" s="13" t="s">
        <v>51</v>
      </c>
      <c r="E21" s="2" t="n">
        <f aca="false">F20</f>
        <v>1524</v>
      </c>
      <c r="F21" s="2" t="n">
        <f aca="false">16*B1</f>
        <v>1625.6</v>
      </c>
      <c r="G21" s="2" t="n">
        <f aca="false">F21-E21</f>
        <v>101.6</v>
      </c>
      <c r="H21" s="5" t="n">
        <f aca="false">G21/0.3048</f>
        <v>333.333333333333</v>
      </c>
      <c r="I21" s="13" t="s">
        <v>52</v>
      </c>
      <c r="J21" s="13" t="s">
        <v>53</v>
      </c>
      <c r="K21" s="12"/>
      <c r="L21" s="1" t="n">
        <v>17</v>
      </c>
    </row>
    <row r="22" customFormat="false" ht="13.8" hidden="false" customHeight="false" outlineLevel="0" collapsed="false">
      <c r="A22" s="13" t="s">
        <v>54</v>
      </c>
      <c r="B22" s="1" t="n">
        <v>1</v>
      </c>
      <c r="C22" s="1" t="n">
        <v>0</v>
      </c>
      <c r="D22" s="13" t="s">
        <v>54</v>
      </c>
      <c r="E22" s="2" t="n">
        <f aca="false">F21</f>
        <v>1625.6</v>
      </c>
      <c r="F22" s="2" t="n">
        <f aca="false">17*B1</f>
        <v>1727.2</v>
      </c>
      <c r="G22" s="2" t="n">
        <f aca="false">F22-E22</f>
        <v>101.6</v>
      </c>
      <c r="H22" s="5" t="n">
        <f aca="false">G22/0.3048</f>
        <v>333.333333333333</v>
      </c>
      <c r="I22" s="13" t="s">
        <v>55</v>
      </c>
      <c r="J22" s="13" t="s">
        <v>56</v>
      </c>
      <c r="K22" s="12"/>
      <c r="L22" s="1" t="n">
        <v>18</v>
      </c>
    </row>
    <row r="23" customFormat="false" ht="13.8" hidden="false" customHeight="false" outlineLevel="0" collapsed="false">
      <c r="A23" s="13" t="s">
        <v>57</v>
      </c>
      <c r="B23" s="1" t="n">
        <v>1</v>
      </c>
      <c r="C23" s="1" t="n">
        <v>0</v>
      </c>
      <c r="D23" s="13" t="s">
        <v>57</v>
      </c>
      <c r="E23" s="2" t="n">
        <f aca="false">F22</f>
        <v>1727.2</v>
      </c>
      <c r="F23" s="2" t="n">
        <f aca="false">18*B1</f>
        <v>1828.8</v>
      </c>
      <c r="G23" s="2" t="n">
        <f aca="false">F23-E23</f>
        <v>101.6</v>
      </c>
      <c r="H23" s="5" t="n">
        <f aca="false">G23/0.3048</f>
        <v>333.333333333334</v>
      </c>
      <c r="I23" s="13" t="s">
        <v>58</v>
      </c>
      <c r="J23" s="13" t="s">
        <v>59</v>
      </c>
      <c r="K23" s="12"/>
      <c r="L23" s="1" t="n">
        <v>19</v>
      </c>
    </row>
    <row r="24" customFormat="false" ht="13.8" hidden="false" customHeight="false" outlineLevel="0" collapsed="false">
      <c r="A24" s="13" t="s">
        <v>60</v>
      </c>
      <c r="B24" s="1" t="n">
        <v>1</v>
      </c>
      <c r="C24" s="1" t="n">
        <v>0</v>
      </c>
      <c r="D24" s="13" t="s">
        <v>60</v>
      </c>
      <c r="E24" s="2" t="n">
        <f aca="false">F23</f>
        <v>1828.8</v>
      </c>
      <c r="F24" s="2" t="n">
        <f aca="false">19*B1</f>
        <v>1930.4</v>
      </c>
      <c r="G24" s="2" t="n">
        <f aca="false">F24-E24</f>
        <v>101.6</v>
      </c>
      <c r="H24" s="5" t="n">
        <f aca="false">G24/0.3048</f>
        <v>333.333333333333</v>
      </c>
      <c r="I24" s="13" t="s">
        <v>61</v>
      </c>
      <c r="J24" s="13" t="s">
        <v>62</v>
      </c>
      <c r="K24" s="12"/>
      <c r="L24" s="1" t="n">
        <v>20</v>
      </c>
    </row>
    <row r="25" customFormat="false" ht="13.8" hidden="false" customHeight="false" outlineLevel="0" collapsed="false">
      <c r="A25" s="13" t="s">
        <v>63</v>
      </c>
      <c r="B25" s="1" t="n">
        <v>1</v>
      </c>
      <c r="C25" s="1" t="n">
        <v>0</v>
      </c>
      <c r="D25" s="13" t="s">
        <v>63</v>
      </c>
      <c r="E25" s="2" t="n">
        <f aca="false">F24</f>
        <v>1930.4</v>
      </c>
      <c r="F25" s="2" t="n">
        <f aca="false">20*B1</f>
        <v>2032</v>
      </c>
      <c r="G25" s="2" t="n">
        <f aca="false">F25-E25</f>
        <v>101.6</v>
      </c>
      <c r="H25" s="5" t="n">
        <f aca="false">G25/0.3048</f>
        <v>333.333333333334</v>
      </c>
      <c r="I25" s="13" t="s">
        <v>64</v>
      </c>
      <c r="J25" s="13" t="s">
        <v>65</v>
      </c>
      <c r="K25" s="12"/>
      <c r="L25" s="1" t="n">
        <v>21</v>
      </c>
    </row>
    <row r="26" customFormat="false" ht="13.8" hidden="false" customHeight="false" outlineLevel="0" collapsed="false">
      <c r="A26" s="13" t="s">
        <v>66</v>
      </c>
      <c r="B26" s="1" t="n">
        <v>1</v>
      </c>
      <c r="C26" s="1" t="n">
        <v>0</v>
      </c>
      <c r="D26" s="13" t="s">
        <v>66</v>
      </c>
      <c r="E26" s="2" t="n">
        <f aca="false">F25</f>
        <v>2032</v>
      </c>
      <c r="F26" s="2" t="n">
        <f aca="false">21*B1</f>
        <v>2133.6</v>
      </c>
      <c r="G26" s="2" t="n">
        <f aca="false">F26-E26</f>
        <v>101.6</v>
      </c>
      <c r="H26" s="5" t="n">
        <f aca="false">G26/0.3048</f>
        <v>333.333333333333</v>
      </c>
      <c r="I26" s="13" t="s">
        <v>67</v>
      </c>
      <c r="J26" s="13" t="s">
        <v>68</v>
      </c>
      <c r="K26" s="12"/>
      <c r="L26" s="1" t="n">
        <v>22</v>
      </c>
    </row>
    <row r="27" customFormat="false" ht="13.8" hidden="false" customHeight="false" outlineLevel="0" collapsed="false">
      <c r="A27" s="13" t="s">
        <v>69</v>
      </c>
      <c r="B27" s="1" t="n">
        <v>1</v>
      </c>
      <c r="C27" s="1" t="n">
        <v>0</v>
      </c>
      <c r="D27" s="13" t="s">
        <v>69</v>
      </c>
      <c r="E27" s="2" t="n">
        <f aca="false">F26</f>
        <v>2133.6</v>
      </c>
      <c r="F27" s="2" t="n">
        <f aca="false">22*B1</f>
        <v>2235.2</v>
      </c>
      <c r="G27" s="2" t="n">
        <f aca="false">F27-E27</f>
        <v>101.6</v>
      </c>
      <c r="H27" s="5" t="n">
        <f aca="false">G27/0.3048</f>
        <v>333.333333333333</v>
      </c>
      <c r="I27" s="13" t="s">
        <v>70</v>
      </c>
      <c r="J27" s="13" t="s">
        <v>71</v>
      </c>
      <c r="K27" s="12"/>
      <c r="L27" s="1" t="n">
        <v>23</v>
      </c>
    </row>
    <row r="28" customFormat="false" ht="13.8" hidden="false" customHeight="false" outlineLevel="0" collapsed="false">
      <c r="A28" s="13" t="s">
        <v>72</v>
      </c>
      <c r="B28" s="1" t="n">
        <v>1</v>
      </c>
      <c r="C28" s="1" t="n">
        <v>0</v>
      </c>
      <c r="D28" s="13" t="s">
        <v>72</v>
      </c>
      <c r="E28" s="2" t="n">
        <f aca="false">F27</f>
        <v>2235.2</v>
      </c>
      <c r="F28" s="2" t="n">
        <f aca="false">23*B1</f>
        <v>2336.8</v>
      </c>
      <c r="G28" s="2" t="n">
        <f aca="false">F28-E28</f>
        <v>101.6</v>
      </c>
      <c r="H28" s="5" t="n">
        <f aca="false">G28/0.3048</f>
        <v>333.333333333333</v>
      </c>
      <c r="I28" s="13" t="s">
        <v>73</v>
      </c>
      <c r="J28" s="13" t="s">
        <v>74</v>
      </c>
      <c r="K28" s="12"/>
      <c r="L28" s="1" t="n">
        <v>24</v>
      </c>
    </row>
    <row r="29" customFormat="false" ht="13.8" hidden="false" customHeight="false" outlineLevel="0" collapsed="false">
      <c r="A29" s="13" t="s">
        <v>75</v>
      </c>
      <c r="B29" s="1" t="n">
        <v>1</v>
      </c>
      <c r="C29" s="1" t="n">
        <v>0</v>
      </c>
      <c r="D29" s="13" t="s">
        <v>75</v>
      </c>
      <c r="E29" s="2" t="n">
        <f aca="false">F28</f>
        <v>2336.8</v>
      </c>
      <c r="F29" s="2" t="n">
        <f aca="false">24*B1</f>
        <v>2438.4</v>
      </c>
      <c r="G29" s="2" t="n">
        <f aca="false">F29-E29</f>
        <v>101.6</v>
      </c>
      <c r="H29" s="5" t="n">
        <f aca="false">G29/0.3048</f>
        <v>333.333333333333</v>
      </c>
      <c r="I29" s="13" t="s">
        <v>76</v>
      </c>
      <c r="J29" s="13" t="s">
        <v>77</v>
      </c>
      <c r="K29" s="12"/>
      <c r="L29" s="1" t="n">
        <v>25</v>
      </c>
    </row>
    <row r="30" customFormat="false" ht="13.8" hidden="false" customHeight="false" outlineLevel="0" collapsed="false">
      <c r="A30" s="13" t="s">
        <v>78</v>
      </c>
      <c r="B30" s="1" t="n">
        <v>1</v>
      </c>
      <c r="C30" s="1" t="n">
        <v>0</v>
      </c>
      <c r="D30" s="13" t="s">
        <v>78</v>
      </c>
      <c r="E30" s="2" t="n">
        <f aca="false">F29</f>
        <v>2438.4</v>
      </c>
      <c r="F30" s="2" t="n">
        <f aca="false">25*B1</f>
        <v>2540</v>
      </c>
      <c r="G30" s="2" t="n">
        <f aca="false">F30-E30</f>
        <v>101.6</v>
      </c>
      <c r="H30" s="5" t="n">
        <f aca="false">G30/0.3048</f>
        <v>333.333333333334</v>
      </c>
      <c r="I30" s="13" t="s">
        <v>79</v>
      </c>
      <c r="J30" s="13" t="s">
        <v>80</v>
      </c>
      <c r="K30" s="12"/>
      <c r="L30" s="1" t="n">
        <v>26</v>
      </c>
    </row>
    <row r="31" customFormat="false" ht="13.8" hidden="false" customHeight="false" outlineLevel="0" collapsed="false">
      <c r="A31" s="13" t="s">
        <v>81</v>
      </c>
      <c r="B31" s="1" t="n">
        <v>1</v>
      </c>
      <c r="C31" s="1" t="n">
        <v>0</v>
      </c>
      <c r="D31" s="13" t="s">
        <v>81</v>
      </c>
      <c r="E31" s="2" t="n">
        <f aca="false">F30</f>
        <v>2540</v>
      </c>
      <c r="F31" s="2" t="n">
        <f aca="false">26*B1</f>
        <v>2641.6</v>
      </c>
      <c r="G31" s="2" t="n">
        <f aca="false">F31-E31</f>
        <v>101.6</v>
      </c>
      <c r="H31" s="5" t="n">
        <f aca="false">G31/0.3048</f>
        <v>333.333333333333</v>
      </c>
      <c r="I31" s="13" t="s">
        <v>82</v>
      </c>
      <c r="J31" s="13" t="s">
        <v>83</v>
      </c>
      <c r="K31" s="12"/>
      <c r="L31" s="1" t="n">
        <v>27</v>
      </c>
    </row>
    <row r="32" customFormat="false" ht="13.8" hidden="false" customHeight="false" outlineLevel="0" collapsed="false">
      <c r="A32" s="13" t="s">
        <v>84</v>
      </c>
      <c r="B32" s="1" t="n">
        <v>1</v>
      </c>
      <c r="C32" s="1" t="n">
        <v>0</v>
      </c>
      <c r="D32" s="13" t="s">
        <v>84</v>
      </c>
      <c r="E32" s="2" t="n">
        <f aca="false">F31</f>
        <v>2641.6</v>
      </c>
      <c r="F32" s="2" t="n">
        <f aca="false">27*B1</f>
        <v>2743.2</v>
      </c>
      <c r="G32" s="2" t="n">
        <f aca="false">F32-E32</f>
        <v>101.6</v>
      </c>
      <c r="H32" s="5" t="n">
        <f aca="false">G32/0.3048</f>
        <v>333.333333333333</v>
      </c>
      <c r="I32" s="13" t="s">
        <v>85</v>
      </c>
      <c r="J32" s="13" t="s">
        <v>86</v>
      </c>
      <c r="K32" s="12"/>
      <c r="L32" s="1" t="n">
        <v>28</v>
      </c>
    </row>
    <row r="33" customFormat="false" ht="13.8" hidden="false" customHeight="false" outlineLevel="0" collapsed="false">
      <c r="A33" s="13" t="s">
        <v>87</v>
      </c>
      <c r="B33" s="1" t="n">
        <v>1</v>
      </c>
      <c r="C33" s="1" t="n">
        <v>0</v>
      </c>
      <c r="D33" s="13" t="s">
        <v>88</v>
      </c>
      <c r="E33" s="2" t="n">
        <f aca="false">F32</f>
        <v>2743.2</v>
      </c>
      <c r="F33" s="2" t="n">
        <f aca="false">28*B1</f>
        <v>2844.8</v>
      </c>
      <c r="G33" s="2" t="n">
        <f aca="false">F33-E33</f>
        <v>101.6</v>
      </c>
      <c r="H33" s="5" t="n">
        <f aca="false">G33/0.3048</f>
        <v>333.333333333334</v>
      </c>
      <c r="K33" s="12"/>
      <c r="L33" s="1" t="n">
        <v>29</v>
      </c>
    </row>
    <row r="34" customFormat="false" ht="13.8" hidden="false" customHeight="false" outlineLevel="0" collapsed="false">
      <c r="A34" s="13" t="s">
        <v>87</v>
      </c>
      <c r="B34" s="1" t="n">
        <v>6</v>
      </c>
      <c r="C34" s="1" t="n">
        <v>0</v>
      </c>
      <c r="D34" s="13" t="s">
        <v>88</v>
      </c>
      <c r="E34" s="2" t="n">
        <f aca="false">F32</f>
        <v>2743.2</v>
      </c>
      <c r="F34" s="2" t="n">
        <f aca="false">28*B1</f>
        <v>2844.8</v>
      </c>
      <c r="G34" s="2" t="n">
        <f aca="false">F34-E34</f>
        <v>101.6</v>
      </c>
      <c r="H34" s="5" t="n">
        <f aca="false">G34/0.3048</f>
        <v>333.333333333333</v>
      </c>
      <c r="K34" s="12"/>
      <c r="L34" s="1" t="n">
        <v>29</v>
      </c>
    </row>
    <row r="35" customFormat="false" ht="13.8" hidden="false" customHeight="false" outlineLevel="0" collapsed="false">
      <c r="A35" s="13" t="s">
        <v>89</v>
      </c>
      <c r="B35" s="1" t="n">
        <v>1</v>
      </c>
      <c r="C35" s="1" t="n">
        <v>0</v>
      </c>
      <c r="D35" s="13" t="s">
        <v>90</v>
      </c>
      <c r="E35" s="2" t="n">
        <f aca="false">F33</f>
        <v>2844.8</v>
      </c>
      <c r="F35" s="2" t="n">
        <f aca="false">29*B1</f>
        <v>2946.4</v>
      </c>
      <c r="G35" s="2" t="n">
        <f aca="false">F35-E35</f>
        <v>101.6</v>
      </c>
      <c r="H35" s="5" t="n">
        <f aca="false">G35/0.3048</f>
        <v>333.333333333333</v>
      </c>
      <c r="K35" s="12"/>
      <c r="L35" s="1" t="n">
        <v>30</v>
      </c>
    </row>
    <row r="36" customFormat="false" ht="13.8" hidden="false" customHeight="false" outlineLevel="0" collapsed="false">
      <c r="A36" s="13" t="s">
        <v>89</v>
      </c>
      <c r="B36" s="1" t="n">
        <v>6</v>
      </c>
      <c r="C36" s="1" t="n">
        <v>0</v>
      </c>
      <c r="D36" s="13" t="s">
        <v>90</v>
      </c>
      <c r="E36" s="2" t="n">
        <f aca="false">F33</f>
        <v>2844.8</v>
      </c>
      <c r="F36" s="2" t="n">
        <f aca="false">29*B1</f>
        <v>2946.4</v>
      </c>
      <c r="G36" s="2" t="n">
        <f aca="false">F36-E36</f>
        <v>101.599999999999</v>
      </c>
      <c r="H36" s="5" t="n">
        <f aca="false">G36/0.3048</f>
        <v>333.333333333332</v>
      </c>
      <c r="J36" s="1" t="s">
        <v>91</v>
      </c>
      <c r="K36" s="12"/>
      <c r="L36" s="1" t="n">
        <v>30</v>
      </c>
    </row>
    <row r="37" customFormat="false" ht="13.8" hidden="false" customHeight="false" outlineLevel="0" collapsed="false">
      <c r="A37" s="13" t="s">
        <v>89</v>
      </c>
      <c r="B37" s="1" t="n">
        <v>7</v>
      </c>
      <c r="C37" s="1" t="n">
        <v>0</v>
      </c>
      <c r="D37" s="13" t="s">
        <v>90</v>
      </c>
      <c r="E37" s="2" t="n">
        <f aca="false">F33</f>
        <v>2844.8</v>
      </c>
      <c r="F37" s="2" t="n">
        <f aca="false">29*B1</f>
        <v>2946.4</v>
      </c>
      <c r="G37" s="2" t="n">
        <f aca="false">F37-E37</f>
        <v>101.599999999999</v>
      </c>
      <c r="H37" s="5" t="n">
        <f aca="false">G37/0.3048</f>
        <v>333.333333333332</v>
      </c>
      <c r="J37" s="1" t="s">
        <v>92</v>
      </c>
      <c r="K37" s="12"/>
      <c r="L37" s="1" t="n">
        <v>30</v>
      </c>
    </row>
    <row r="38" customFormat="false" ht="13.8" hidden="false" customHeight="false" outlineLevel="0" collapsed="false">
      <c r="A38" s="13" t="s">
        <v>89</v>
      </c>
      <c r="B38" s="1" t="n">
        <v>9</v>
      </c>
      <c r="C38" s="1" t="n">
        <v>0</v>
      </c>
      <c r="D38" s="13" t="s">
        <v>90</v>
      </c>
      <c r="E38" s="2" t="n">
        <f aca="false">F33</f>
        <v>2844.8</v>
      </c>
      <c r="F38" s="2" t="n">
        <f aca="false">29*B1</f>
        <v>2946.4</v>
      </c>
      <c r="G38" s="2" t="n">
        <f aca="false">F38-E38</f>
        <v>101.599999999999</v>
      </c>
      <c r="H38" s="5" t="n">
        <f aca="false">G38/0.3048</f>
        <v>333.333333333332</v>
      </c>
      <c r="I38" s="1" t="s">
        <v>93</v>
      </c>
      <c r="K38" s="12"/>
      <c r="L38" s="1" t="n">
        <v>30</v>
      </c>
    </row>
    <row r="39" customFormat="false" ht="13.8" hidden="false" customHeight="false" outlineLevel="0" collapsed="false">
      <c r="A39" s="14" t="s">
        <v>94</v>
      </c>
      <c r="B39" s="14" t="n">
        <v>1</v>
      </c>
      <c r="C39" s="14" t="n">
        <v>0</v>
      </c>
      <c r="D39" s="14" t="s">
        <v>95</v>
      </c>
      <c r="E39" s="15" t="n">
        <f aca="false">F35</f>
        <v>2946.4</v>
      </c>
      <c r="F39" s="15" t="n">
        <v>3050.512</v>
      </c>
      <c r="G39" s="15" t="n">
        <f aca="false">F39-E39</f>
        <v>104.112</v>
      </c>
      <c r="H39" s="16" t="n">
        <f aca="false">G39/0.3048</f>
        <v>341.574803149607</v>
      </c>
      <c r="I39" s="17"/>
      <c r="J39" s="17" t="s">
        <v>96</v>
      </c>
      <c r="K39" s="12"/>
      <c r="L39" s="1" t="n">
        <v>31</v>
      </c>
    </row>
    <row r="40" customFormat="false" ht="13.8" hidden="false" customHeight="false" outlineLevel="0" collapsed="false">
      <c r="A40" s="14" t="s">
        <v>94</v>
      </c>
      <c r="B40" s="14" t="n">
        <v>6</v>
      </c>
      <c r="C40" s="14" t="n">
        <v>0</v>
      </c>
      <c r="D40" s="14" t="s">
        <v>95</v>
      </c>
      <c r="E40" s="15" t="n">
        <f aca="false">F35</f>
        <v>2946.4</v>
      </c>
      <c r="F40" s="15" t="n">
        <v>3050.512</v>
      </c>
      <c r="G40" s="15" t="n">
        <f aca="false">F40-E40</f>
        <v>104.112</v>
      </c>
      <c r="H40" s="16" t="n">
        <f aca="false">G40/0.3048</f>
        <v>341.574803149607</v>
      </c>
      <c r="I40" s="17" t="s">
        <v>97</v>
      </c>
      <c r="J40" s="17" t="s">
        <v>98</v>
      </c>
      <c r="K40" s="12"/>
      <c r="L40" s="1" t="n">
        <v>31</v>
      </c>
    </row>
    <row r="41" customFormat="false" ht="13.8" hidden="false" customHeight="false" outlineLevel="0" collapsed="false">
      <c r="A41" s="14" t="s">
        <v>94</v>
      </c>
      <c r="B41" s="14" t="n">
        <v>7</v>
      </c>
      <c r="C41" s="14" t="n">
        <v>0</v>
      </c>
      <c r="D41" s="14" t="s">
        <v>95</v>
      </c>
      <c r="E41" s="15" t="n">
        <f aca="false">F35</f>
        <v>2946.4</v>
      </c>
      <c r="F41" s="15" t="n">
        <v>3050.512</v>
      </c>
      <c r="G41" s="15" t="n">
        <f aca="false">F41-E41</f>
        <v>104.112</v>
      </c>
      <c r="H41" s="16" t="n">
        <f aca="false">G41/0.3048</f>
        <v>341.574803149607</v>
      </c>
      <c r="I41" s="17" t="s">
        <v>99</v>
      </c>
      <c r="J41" s="17" t="s">
        <v>100</v>
      </c>
      <c r="K41" s="12"/>
      <c r="L41" s="1" t="n">
        <v>31</v>
      </c>
    </row>
    <row r="42" s="24" customFormat="true" ht="13.8" hidden="false" customHeight="false" outlineLevel="0" collapsed="false">
      <c r="A42" s="18" t="s">
        <v>94</v>
      </c>
      <c r="B42" s="18" t="n">
        <v>9</v>
      </c>
      <c r="C42" s="18" t="n">
        <v>0</v>
      </c>
      <c r="D42" s="18" t="s">
        <v>95</v>
      </c>
      <c r="E42" s="19" t="n">
        <f aca="false">F35</f>
        <v>2946.4</v>
      </c>
      <c r="F42" s="19" t="n">
        <v>3050.512</v>
      </c>
      <c r="G42" s="19" t="n">
        <f aca="false">F42-E42</f>
        <v>104.112</v>
      </c>
      <c r="H42" s="20" t="n">
        <f aca="false">G42/0.3048</f>
        <v>341.574803149607</v>
      </c>
      <c r="I42" s="21"/>
      <c r="J42" s="21"/>
      <c r="K42" s="12"/>
      <c r="L42" s="22" t="n">
        <v>31</v>
      </c>
      <c r="M42" s="22"/>
      <c r="N42" s="23"/>
      <c r="O42" s="23"/>
      <c r="P42" s="23"/>
      <c r="Q42" s="23"/>
      <c r="R42" s="22"/>
      <c r="S42" s="22"/>
    </row>
    <row r="43" s="30" customFormat="true" ht="15" hidden="false" customHeight="true" outlineLevel="0" collapsed="false">
      <c r="A43" s="17" t="s">
        <v>101</v>
      </c>
      <c r="B43" s="17" t="n">
        <v>1</v>
      </c>
      <c r="C43" s="17" t="n">
        <v>1</v>
      </c>
      <c r="D43" s="17" t="s">
        <v>102</v>
      </c>
      <c r="E43" s="25" t="n">
        <v>2.512</v>
      </c>
      <c r="F43" s="25" t="n">
        <v>176.021</v>
      </c>
      <c r="G43" s="25" t="n">
        <f aca="false">F43-E43</f>
        <v>173.509</v>
      </c>
      <c r="H43" s="26" t="n">
        <f aca="false">G43/0.3048</f>
        <v>569.255249343832</v>
      </c>
      <c r="I43" s="17" t="s">
        <v>103</v>
      </c>
      <c r="J43" s="17" t="s">
        <v>104</v>
      </c>
      <c r="K43" s="27" t="s">
        <v>105</v>
      </c>
      <c r="L43" s="28" t="n">
        <v>32</v>
      </c>
      <c r="M43" s="28"/>
      <c r="N43" s="29"/>
      <c r="O43" s="29"/>
      <c r="P43" s="29"/>
      <c r="Q43" s="29"/>
      <c r="R43" s="28"/>
      <c r="S43" s="28"/>
    </row>
    <row r="44" customFormat="false" ht="15" hidden="false" customHeight="true" outlineLevel="0" collapsed="false">
      <c r="A44" s="17" t="s">
        <v>101</v>
      </c>
      <c r="B44" s="17" t="n">
        <v>6</v>
      </c>
      <c r="C44" s="17" t="n">
        <v>1</v>
      </c>
      <c r="D44" s="17" t="s">
        <v>102</v>
      </c>
      <c r="E44" s="25" t="n">
        <v>2.512</v>
      </c>
      <c r="F44" s="25" t="n">
        <v>176.021</v>
      </c>
      <c r="G44" s="25" t="n">
        <f aca="false">F44-E44</f>
        <v>173.509</v>
      </c>
      <c r="H44" s="26" t="n">
        <f aca="false">G44/0.3048</f>
        <v>569.255249343832</v>
      </c>
      <c r="I44" s="17" t="s">
        <v>97</v>
      </c>
      <c r="J44" s="17" t="s">
        <v>98</v>
      </c>
      <c r="K44" s="27"/>
      <c r="L44" s="1" t="n">
        <v>32</v>
      </c>
    </row>
    <row r="45" customFormat="false" ht="15" hidden="false" customHeight="true" outlineLevel="0" collapsed="false">
      <c r="A45" s="17" t="s">
        <v>101</v>
      </c>
      <c r="B45" s="17" t="n">
        <v>7</v>
      </c>
      <c r="C45" s="17" t="n">
        <v>1</v>
      </c>
      <c r="D45" s="17" t="s">
        <v>102</v>
      </c>
      <c r="E45" s="25" t="n">
        <v>2.512</v>
      </c>
      <c r="F45" s="25" t="n">
        <v>176.021</v>
      </c>
      <c r="G45" s="25" t="n">
        <f aca="false">F45-E45</f>
        <v>173.509</v>
      </c>
      <c r="H45" s="26" t="n">
        <f aca="false">G45/0.3048</f>
        <v>569.255249343832</v>
      </c>
      <c r="I45" s="17" t="s">
        <v>103</v>
      </c>
      <c r="J45" s="17" t="s">
        <v>104</v>
      </c>
      <c r="K45" s="27"/>
      <c r="L45" s="1" t="n">
        <v>32</v>
      </c>
    </row>
    <row r="46" customFormat="false" ht="15" hidden="false" customHeight="true" outlineLevel="0" collapsed="false">
      <c r="A46" s="17" t="s">
        <v>101</v>
      </c>
      <c r="B46" s="17" t="n">
        <v>9</v>
      </c>
      <c r="C46" s="17" t="n">
        <v>1</v>
      </c>
      <c r="D46" s="17" t="s">
        <v>102</v>
      </c>
      <c r="E46" s="25" t="n">
        <v>2.512</v>
      </c>
      <c r="F46" s="25" t="n">
        <v>176.021</v>
      </c>
      <c r="G46" s="25" t="n">
        <f aca="false">F46-E46</f>
        <v>173.509</v>
      </c>
      <c r="H46" s="26" t="n">
        <f aca="false">G46/0.3048</f>
        <v>569.255249343832</v>
      </c>
      <c r="I46" s="17" t="s">
        <v>103</v>
      </c>
      <c r="J46" s="17" t="s">
        <v>104</v>
      </c>
      <c r="K46" s="27"/>
      <c r="L46" s="1" t="n">
        <v>32</v>
      </c>
    </row>
    <row r="47" customFormat="false" ht="13.8" hidden="false" customHeight="false" outlineLevel="0" collapsed="false">
      <c r="A47" s="13" t="s">
        <v>106</v>
      </c>
      <c r="B47" s="1" t="n">
        <v>1</v>
      </c>
      <c r="C47" s="1" t="n">
        <v>1</v>
      </c>
      <c r="D47" s="13" t="s">
        <v>107</v>
      </c>
      <c r="E47" s="2" t="n">
        <f aca="false">F43</f>
        <v>176.021</v>
      </c>
      <c r="F47" s="2" t="n">
        <v>206.2677</v>
      </c>
      <c r="G47" s="2" t="n">
        <f aca="false">F47-E47</f>
        <v>30.2467</v>
      </c>
      <c r="H47" s="5" t="n">
        <f aca="false">G47/0.3048</f>
        <v>99.2345800524934</v>
      </c>
      <c r="I47" s="1" t="s">
        <v>108</v>
      </c>
      <c r="K47" s="27"/>
      <c r="L47" s="1" t="n">
        <v>33</v>
      </c>
    </row>
    <row r="48" customFormat="false" ht="13.8" hidden="false" customHeight="false" outlineLevel="0" collapsed="false">
      <c r="A48" s="1" t="s">
        <v>109</v>
      </c>
      <c r="B48" s="1" t="n">
        <v>1</v>
      </c>
      <c r="C48" s="1" t="n">
        <v>1</v>
      </c>
      <c r="D48" s="13" t="s">
        <v>107</v>
      </c>
      <c r="E48" s="2" t="n">
        <f aca="false">F47</f>
        <v>206.2677</v>
      </c>
      <c r="F48" s="2" t="n">
        <v>232.228</v>
      </c>
      <c r="G48" s="2" t="n">
        <f aca="false">F48-E48</f>
        <v>25.9603</v>
      </c>
      <c r="H48" s="5" t="n">
        <f aca="false">G48/0.3048</f>
        <v>85.1715879265093</v>
      </c>
      <c r="K48" s="27"/>
      <c r="L48" s="1" t="n">
        <v>34</v>
      </c>
    </row>
    <row r="49" customFormat="false" ht="13.8" hidden="false" customHeight="false" outlineLevel="0" collapsed="false">
      <c r="A49" s="1" t="s">
        <v>110</v>
      </c>
      <c r="B49" s="1" t="n">
        <v>1</v>
      </c>
      <c r="C49" s="1" t="n">
        <v>1</v>
      </c>
      <c r="D49" s="13" t="s">
        <v>107</v>
      </c>
      <c r="E49" s="2" t="n">
        <f aca="false">F48</f>
        <v>232.228</v>
      </c>
      <c r="F49" s="2" t="n">
        <v>259.8137</v>
      </c>
      <c r="G49" s="2" t="n">
        <f aca="false">F49-E49</f>
        <v>27.5857</v>
      </c>
      <c r="H49" s="5" t="n">
        <f aca="false">G49/0.3048</f>
        <v>90.5042650918634</v>
      </c>
      <c r="K49" s="27"/>
      <c r="L49" s="1" t="n">
        <v>35</v>
      </c>
    </row>
    <row r="50" customFormat="false" ht="13.8" hidden="false" customHeight="false" outlineLevel="0" collapsed="false">
      <c r="A50" s="1" t="s">
        <v>111</v>
      </c>
      <c r="B50" s="1" t="n">
        <v>1</v>
      </c>
      <c r="C50" s="1" t="n">
        <v>1</v>
      </c>
      <c r="D50" s="13" t="s">
        <v>107</v>
      </c>
      <c r="E50" s="2" t="n">
        <f aca="false">F49</f>
        <v>259.8137</v>
      </c>
      <c r="F50" s="2" t="n">
        <v>290.3484</v>
      </c>
      <c r="G50" s="2" t="n">
        <f aca="false">F50-E50</f>
        <v>30.5347</v>
      </c>
      <c r="H50" s="5" t="n">
        <f aca="false">G50/0.3048</f>
        <v>100.179461942257</v>
      </c>
      <c r="K50" s="27"/>
      <c r="L50" s="1" t="n">
        <v>36</v>
      </c>
    </row>
    <row r="51" customFormat="false" ht="13.8" hidden="false" customHeight="false" outlineLevel="0" collapsed="false">
      <c r="A51" s="1" t="s">
        <v>112</v>
      </c>
      <c r="B51" s="1" t="n">
        <v>1</v>
      </c>
      <c r="C51" s="1" t="n">
        <v>1</v>
      </c>
      <c r="D51" s="13" t="s">
        <v>107</v>
      </c>
      <c r="E51" s="2" t="n">
        <f aca="false">F50</f>
        <v>290.3484</v>
      </c>
      <c r="F51" s="2" t="n">
        <v>317.5478</v>
      </c>
      <c r="G51" s="2" t="n">
        <f aca="false">F51-E51</f>
        <v>27.1994</v>
      </c>
      <c r="H51" s="5" t="n">
        <f aca="false">G51/0.3048</f>
        <v>89.2368766404198</v>
      </c>
      <c r="K51" s="27"/>
      <c r="L51" s="1" t="n">
        <v>37</v>
      </c>
    </row>
    <row r="52" customFormat="false" ht="13.8" hidden="false" customHeight="false" outlineLevel="0" collapsed="false">
      <c r="A52" s="1" t="s">
        <v>113</v>
      </c>
      <c r="B52" s="1" t="n">
        <v>1</v>
      </c>
      <c r="C52" s="1" t="n">
        <v>1</v>
      </c>
      <c r="D52" s="13" t="s">
        <v>107</v>
      </c>
      <c r="E52" s="2" t="n">
        <f aca="false">F51</f>
        <v>317.5478</v>
      </c>
      <c r="F52" s="2" t="n">
        <v>345.1276</v>
      </c>
      <c r="G52" s="2" t="n">
        <f aca="false">F52-E52</f>
        <v>27.5798</v>
      </c>
      <c r="H52" s="5" t="n">
        <f aca="false">G52/0.3048</f>
        <v>90.4849081364829</v>
      </c>
      <c r="K52" s="27"/>
      <c r="L52" s="1" t="n">
        <v>38</v>
      </c>
    </row>
    <row r="53" customFormat="false" ht="13.8" hidden="false" customHeight="false" outlineLevel="0" collapsed="false">
      <c r="A53" s="1" t="s">
        <v>114</v>
      </c>
      <c r="B53" s="1" t="n">
        <v>1</v>
      </c>
      <c r="C53" s="1" t="n">
        <v>1</v>
      </c>
      <c r="D53" s="13" t="s">
        <v>107</v>
      </c>
      <c r="E53" s="2" t="n">
        <f aca="false">F52</f>
        <v>345.1276</v>
      </c>
      <c r="F53" s="2" t="n">
        <v>368.2201</v>
      </c>
      <c r="G53" s="2" t="n">
        <f aca="false">F53-E53</f>
        <v>23.0925</v>
      </c>
      <c r="H53" s="5" t="n">
        <f aca="false">G53/0.3048</f>
        <v>75.7627952755906</v>
      </c>
      <c r="K53" s="27"/>
      <c r="L53" s="1" t="n">
        <v>39</v>
      </c>
    </row>
    <row r="54" customFormat="false" ht="13.8" hidden="false" customHeight="false" outlineLevel="0" collapsed="false">
      <c r="A54" s="1" t="s">
        <v>115</v>
      </c>
      <c r="B54" s="1" t="n">
        <v>1</v>
      </c>
      <c r="C54" s="1" t="n">
        <v>1</v>
      </c>
      <c r="D54" s="13" t="s">
        <v>107</v>
      </c>
      <c r="E54" s="2" t="n">
        <f aca="false">F53</f>
        <v>368.2201</v>
      </c>
      <c r="F54" s="2" t="n">
        <v>397.2453</v>
      </c>
      <c r="G54" s="2" t="n">
        <f aca="false">F54-E54</f>
        <v>29.0252</v>
      </c>
      <c r="H54" s="5" t="n">
        <f aca="false">G54/0.3048</f>
        <v>95.2270341207349</v>
      </c>
      <c r="K54" s="27"/>
      <c r="L54" s="1" t="n">
        <v>40</v>
      </c>
    </row>
    <row r="55" customFormat="false" ht="13.8" hidden="false" customHeight="false" outlineLevel="0" collapsed="false">
      <c r="A55" s="1" t="s">
        <v>116</v>
      </c>
      <c r="B55" s="1" t="n">
        <v>1</v>
      </c>
      <c r="C55" s="1" t="n">
        <v>1</v>
      </c>
      <c r="D55" s="13" t="s">
        <v>107</v>
      </c>
      <c r="E55" s="2" t="n">
        <f aca="false">F54</f>
        <v>397.2453</v>
      </c>
      <c r="F55" s="2" t="n">
        <v>427.6908</v>
      </c>
      <c r="G55" s="2" t="n">
        <f aca="false">F55-E55</f>
        <v>30.4455</v>
      </c>
      <c r="H55" s="5" t="n">
        <f aca="false">G55/0.3048</f>
        <v>99.8868110236222</v>
      </c>
      <c r="K55" s="27"/>
      <c r="L55" s="1" t="n">
        <v>41</v>
      </c>
    </row>
    <row r="56" customFormat="false" ht="13.8" hidden="false" customHeight="false" outlineLevel="0" collapsed="false">
      <c r="A56" s="1" t="s">
        <v>117</v>
      </c>
      <c r="B56" s="1" t="n">
        <v>1</v>
      </c>
      <c r="C56" s="1" t="n">
        <v>1</v>
      </c>
      <c r="D56" s="13" t="s">
        <v>107</v>
      </c>
      <c r="E56" s="2" t="n">
        <f aca="false">F55</f>
        <v>427.6908</v>
      </c>
      <c r="F56" s="2" t="n">
        <v>454.5479</v>
      </c>
      <c r="G56" s="2" t="n">
        <f aca="false">F56-E56</f>
        <v>26.8571</v>
      </c>
      <c r="H56" s="5" t="n">
        <f aca="false">G56/0.3048</f>
        <v>88.113845144357</v>
      </c>
      <c r="K56" s="27"/>
      <c r="L56" s="1" t="n">
        <v>42</v>
      </c>
    </row>
    <row r="57" customFormat="false" ht="13.8" hidden="false" customHeight="false" outlineLevel="0" collapsed="false">
      <c r="A57" s="1" t="s">
        <v>118</v>
      </c>
      <c r="B57" s="1" t="n">
        <v>1</v>
      </c>
      <c r="C57" s="1" t="n">
        <v>1</v>
      </c>
      <c r="D57" s="13" t="s">
        <v>107</v>
      </c>
      <c r="E57" s="2" t="n">
        <f aca="false">F56</f>
        <v>454.5479</v>
      </c>
      <c r="F57" s="2" t="n">
        <v>483.808</v>
      </c>
      <c r="G57" s="2" t="n">
        <f aca="false">F57-E57</f>
        <v>29.2601</v>
      </c>
      <c r="H57" s="5" t="n">
        <f aca="false">G57/0.3048</f>
        <v>95.9977034120734</v>
      </c>
      <c r="K57" s="27"/>
      <c r="L57" s="1" t="n">
        <v>43</v>
      </c>
    </row>
    <row r="58" customFormat="false" ht="13.8" hidden="false" customHeight="false" outlineLevel="0" collapsed="false">
      <c r="A58" s="1" t="s">
        <v>119</v>
      </c>
      <c r="B58" s="1" t="n">
        <v>1</v>
      </c>
      <c r="C58" s="1" t="n">
        <v>1</v>
      </c>
      <c r="D58" s="13" t="s">
        <v>107</v>
      </c>
      <c r="E58" s="2" t="n">
        <f aca="false">F57</f>
        <v>483.808</v>
      </c>
      <c r="F58" s="2" t="n">
        <v>517.657</v>
      </c>
      <c r="G58" s="2" t="n">
        <f aca="false">F58-E58</f>
        <v>33.849</v>
      </c>
      <c r="H58" s="5" t="n">
        <f aca="false">G58/0.3048</f>
        <v>111.053149606299</v>
      </c>
      <c r="J58" s="1" t="s">
        <v>120</v>
      </c>
      <c r="K58" s="27"/>
      <c r="L58" s="1" t="n">
        <v>44</v>
      </c>
    </row>
    <row r="59" customFormat="false" ht="13.8" hidden="false" customHeight="false" outlineLevel="0" collapsed="false">
      <c r="A59" s="1" t="s">
        <v>121</v>
      </c>
      <c r="B59" s="1" t="n">
        <v>1</v>
      </c>
      <c r="C59" s="1" t="n">
        <v>1</v>
      </c>
      <c r="D59" s="1" t="s">
        <v>122</v>
      </c>
      <c r="E59" s="2" t="n">
        <f aca="false">F58</f>
        <v>517.657</v>
      </c>
      <c r="F59" s="2" t="n">
        <v>559.586492</v>
      </c>
      <c r="G59" s="2" t="n">
        <f aca="false">F59-E59</f>
        <v>41.929492</v>
      </c>
      <c r="H59" s="2" t="n">
        <f aca="false">G59/0.3048</f>
        <v>137.563950131234</v>
      </c>
      <c r="I59" s="1" t="s">
        <v>123</v>
      </c>
      <c r="K59" s="27"/>
      <c r="L59" s="1" t="n">
        <v>45</v>
      </c>
    </row>
    <row r="60" customFormat="false" ht="13.8" hidden="false" customHeight="false" outlineLevel="0" collapsed="false">
      <c r="A60" s="1" t="s">
        <v>124</v>
      </c>
      <c r="B60" s="1" t="n">
        <v>1</v>
      </c>
      <c r="C60" s="1" t="n">
        <v>1</v>
      </c>
      <c r="D60" s="1" t="s">
        <v>122</v>
      </c>
      <c r="E60" s="2" t="n">
        <f aca="false">F59</f>
        <v>559.586492</v>
      </c>
      <c r="F60" s="2" t="n">
        <v>594.786492</v>
      </c>
      <c r="G60" s="2" t="n">
        <f aca="false">F60-E60</f>
        <v>35.1999999999999</v>
      </c>
      <c r="H60" s="2" t="n">
        <f aca="false">G60/0.3048</f>
        <v>115.485564304462</v>
      </c>
      <c r="K60" s="27"/>
      <c r="L60" s="1" t="n">
        <v>46</v>
      </c>
    </row>
    <row r="61" customFormat="false" ht="13.8" hidden="false" customHeight="false" outlineLevel="0" collapsed="false">
      <c r="A61" s="1" t="s">
        <v>125</v>
      </c>
      <c r="B61" s="1" t="n">
        <v>1</v>
      </c>
      <c r="C61" s="1" t="n">
        <v>1</v>
      </c>
      <c r="D61" s="1" t="s">
        <v>122</v>
      </c>
      <c r="E61" s="2" t="n">
        <f aca="false">F60</f>
        <v>594.786492</v>
      </c>
      <c r="F61" s="2" t="n">
        <v>629.986492</v>
      </c>
      <c r="G61" s="2" t="n">
        <f aca="false">F61-E61</f>
        <v>35.2</v>
      </c>
      <c r="H61" s="2" t="n">
        <f aca="false">G61/0.3048</f>
        <v>115.485564304462</v>
      </c>
      <c r="K61" s="27"/>
      <c r="L61" s="1" t="n">
        <v>47</v>
      </c>
    </row>
    <row r="62" customFormat="false" ht="13.8" hidden="false" customHeight="false" outlineLevel="0" collapsed="false">
      <c r="A62" s="1" t="s">
        <v>126</v>
      </c>
      <c r="B62" s="1" t="n">
        <v>1</v>
      </c>
      <c r="C62" s="1" t="n">
        <v>1</v>
      </c>
      <c r="D62" s="1" t="s">
        <v>122</v>
      </c>
      <c r="E62" s="2" t="n">
        <f aca="false">F61</f>
        <v>629.986492</v>
      </c>
      <c r="F62" s="2" t="n">
        <v>670.486492</v>
      </c>
      <c r="G62" s="2" t="n">
        <f aca="false">F62-E62</f>
        <v>40.5</v>
      </c>
      <c r="H62" s="2" t="n">
        <f aca="false">G62/0.3048</f>
        <v>132.874015748032</v>
      </c>
      <c r="J62" s="1" t="s">
        <v>127</v>
      </c>
      <c r="K62" s="27"/>
      <c r="L62" s="1" t="n">
        <v>48</v>
      </c>
    </row>
    <row r="63" customFormat="false" ht="13.8" hidden="false" customHeight="false" outlineLevel="0" collapsed="false">
      <c r="A63" s="1" t="s">
        <v>128</v>
      </c>
      <c r="B63" s="1" t="n">
        <v>1</v>
      </c>
      <c r="C63" s="1" t="n">
        <v>1</v>
      </c>
      <c r="D63" s="1" t="s">
        <v>129</v>
      </c>
      <c r="E63" s="2" t="n">
        <f aca="false">F62</f>
        <v>670.486492</v>
      </c>
      <c r="F63" s="2" t="n">
        <v>686.41</v>
      </c>
      <c r="G63" s="2" t="n">
        <f aca="false">F63-E63</f>
        <v>15.923508</v>
      </c>
      <c r="H63" s="5" t="n">
        <f aca="false">G63/0.3048</f>
        <v>52.2424803149605</v>
      </c>
      <c r="I63" s="1" t="s">
        <v>130</v>
      </c>
      <c r="J63" s="1" t="s">
        <v>131</v>
      </c>
      <c r="K63" s="27"/>
      <c r="L63" s="1" t="n">
        <v>49</v>
      </c>
    </row>
    <row r="64" customFormat="false" ht="13.8" hidden="false" customHeight="false" outlineLevel="0" collapsed="false">
      <c r="A64" s="1" t="s">
        <v>132</v>
      </c>
      <c r="B64" s="1" t="n">
        <v>1</v>
      </c>
      <c r="C64" s="1" t="n">
        <v>1</v>
      </c>
      <c r="D64" s="1" t="s">
        <v>133</v>
      </c>
      <c r="E64" s="2" t="n">
        <f aca="false">F63</f>
        <v>686.41</v>
      </c>
      <c r="F64" s="2" t="n">
        <v>717.475</v>
      </c>
      <c r="G64" s="2" t="n">
        <f aca="false">F64-E64</f>
        <v>31.0650000000001</v>
      </c>
      <c r="H64" s="5" t="n">
        <f aca="false">G64/0.3048</f>
        <v>101.919291338583</v>
      </c>
      <c r="I64" s="1" t="s">
        <v>134</v>
      </c>
      <c r="J64" s="1" t="s">
        <v>135</v>
      </c>
      <c r="K64" s="27"/>
      <c r="L64" s="1" t="n">
        <v>50</v>
      </c>
    </row>
    <row r="65" customFormat="false" ht="13.8" hidden="false" customHeight="false" outlineLevel="0" collapsed="false">
      <c r="A65" s="1" t="s">
        <v>136</v>
      </c>
      <c r="B65" s="1" t="n">
        <v>2</v>
      </c>
      <c r="C65" s="1" t="n">
        <v>1</v>
      </c>
      <c r="D65" s="1" t="s">
        <v>137</v>
      </c>
      <c r="E65" s="2" t="n">
        <v>686.41033</v>
      </c>
      <c r="F65" s="2" t="n">
        <v>714.0762</v>
      </c>
      <c r="G65" s="2" t="n">
        <f aca="false">F65-E65</f>
        <v>27.6658699999999</v>
      </c>
      <c r="H65" s="5" t="n">
        <f aca="false">G65/0.3048</f>
        <v>90.7672900262465</v>
      </c>
      <c r="I65" s="1" t="s">
        <v>138</v>
      </c>
      <c r="J65" s="31" t="s">
        <v>139</v>
      </c>
      <c r="K65" s="27"/>
      <c r="L65" s="1" t="n">
        <v>51</v>
      </c>
    </row>
    <row r="66" customFormat="false" ht="13.8" hidden="false" customHeight="false" outlineLevel="0" collapsed="false">
      <c r="A66" s="1" t="s">
        <v>140</v>
      </c>
      <c r="B66" s="1" t="n">
        <v>3</v>
      </c>
      <c r="C66" s="1" t="n">
        <v>1</v>
      </c>
      <c r="D66" s="1" t="s">
        <v>141</v>
      </c>
      <c r="E66" s="2" t="n">
        <v>700.528</v>
      </c>
      <c r="F66" s="2" t="n">
        <v>740.280986</v>
      </c>
      <c r="G66" s="2" t="n">
        <f aca="false">F66-E66</f>
        <v>39.752986</v>
      </c>
      <c r="H66" s="5" t="n">
        <f aca="false">G66/0.3048</f>
        <v>130.423182414698</v>
      </c>
      <c r="I66" s="1" t="s">
        <v>142</v>
      </c>
      <c r="J66" s="31" t="s">
        <v>143</v>
      </c>
      <c r="K66" s="27"/>
      <c r="L66" s="1" t="n">
        <v>52</v>
      </c>
    </row>
    <row r="67" customFormat="false" ht="13.8" hidden="false" customHeight="false" outlineLevel="0" collapsed="false">
      <c r="A67" s="1" t="s">
        <v>140</v>
      </c>
      <c r="B67" s="1" t="n">
        <v>4</v>
      </c>
      <c r="C67" s="1" t="n">
        <v>1</v>
      </c>
      <c r="D67" s="1" t="s">
        <v>144</v>
      </c>
      <c r="E67" s="2" t="n">
        <v>733.772</v>
      </c>
      <c r="F67" s="2" t="n">
        <v>756.099561</v>
      </c>
      <c r="G67" s="2" t="n">
        <f aca="false">F67-E67</f>
        <v>22.3275609999999</v>
      </c>
      <c r="H67" s="5" t="n">
        <f aca="false">G67/0.3048</f>
        <v>73.2531528871389</v>
      </c>
      <c r="I67" s="1" t="s">
        <v>145</v>
      </c>
      <c r="J67" s="31" t="s">
        <v>146</v>
      </c>
      <c r="K67" s="27"/>
      <c r="L67" s="1" t="n">
        <v>53</v>
      </c>
    </row>
    <row r="68" customFormat="false" ht="13.8" hidden="false" customHeight="false" outlineLevel="0" collapsed="false">
      <c r="A68" s="1" t="s">
        <v>140</v>
      </c>
      <c r="B68" s="1" t="n">
        <v>5</v>
      </c>
      <c r="C68" s="1" t="n">
        <v>1</v>
      </c>
      <c r="D68" s="1" t="s">
        <v>147</v>
      </c>
      <c r="E68" s="1" t="n">
        <v>733.772</v>
      </c>
      <c r="F68" s="2" t="n">
        <v>758.29</v>
      </c>
      <c r="G68" s="2" t="n">
        <f aca="false">F68-E68</f>
        <v>24.5179999999999</v>
      </c>
      <c r="H68" s="5" t="n">
        <f aca="false">G68/0.3048</f>
        <v>80.4396325459315</v>
      </c>
      <c r="I68" s="1" t="s">
        <v>148</v>
      </c>
      <c r="J68" s="31" t="s">
        <v>149</v>
      </c>
      <c r="K68" s="27"/>
      <c r="L68" s="1" t="n">
        <v>54</v>
      </c>
    </row>
    <row r="69" customFormat="false" ht="13.8" hidden="false" customHeight="false" outlineLevel="0" collapsed="false">
      <c r="A69" s="7" t="s">
        <v>150</v>
      </c>
      <c r="B69" s="7" t="n">
        <v>9</v>
      </c>
      <c r="C69" s="7" t="n">
        <v>1</v>
      </c>
      <c r="D69" s="7" t="s">
        <v>150</v>
      </c>
      <c r="E69" s="7" t="n">
        <v>176.021</v>
      </c>
      <c r="F69" s="9" t="n">
        <v>313.056</v>
      </c>
      <c r="G69" s="9" t="n">
        <f aca="false">F69-E69</f>
        <v>137.035</v>
      </c>
      <c r="H69" s="10" t="n">
        <f aca="false">G69/0.3048</f>
        <v>449.589895013123</v>
      </c>
      <c r="I69" s="7"/>
      <c r="J69" s="32" t="s">
        <v>151</v>
      </c>
      <c r="K69" s="27"/>
      <c r="L69" s="1" t="n">
        <v>55</v>
      </c>
    </row>
    <row r="70" customFormat="false" ht="13.8" hidden="false" customHeight="false" outlineLevel="0" collapsed="false"/>
    <row r="71" customFormat="false" ht="13.8" hidden="false" customHeight="false" outlineLevel="0" collapsed="false">
      <c r="A71" s="1" t="s">
        <v>152</v>
      </c>
    </row>
    <row r="72" customFormat="false" ht="15" hidden="false" customHeight="false" outlineLevel="0" collapsed="false">
      <c r="A72" s="1" t="n">
        <v>1</v>
      </c>
      <c r="B72" s="33" t="s">
        <v>153</v>
      </c>
    </row>
  </sheetData>
  <mergeCells count="2">
    <mergeCell ref="K4:K42"/>
    <mergeCell ref="K43:K69"/>
  </mergeCells>
  <printOptions headings="false" gridLines="false" gridLinesSet="true" horizontalCentered="false" verticalCentered="false"/>
  <pageMargins left="0.5" right="0.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4" activeCellId="0" sqref="O24"/>
    </sheetView>
  </sheetViews>
  <sheetFormatPr defaultColWidth="8.58203125" defaultRowHeight="13.8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34" width="7.57"/>
    <col collapsed="false" customWidth="true" hidden="false" outlineLevel="0" max="3" min="3" style="0" width="5.14"/>
    <col collapsed="false" customWidth="true" hidden="false" outlineLevel="0" max="4" min="4" style="0" width="28.72"/>
    <col collapsed="false" customWidth="true" hidden="false" outlineLevel="0" max="5" min="5" style="0" width="11"/>
    <col collapsed="false" customWidth="true" hidden="false" outlineLevel="0" max="8" min="7" style="0" width="7.57"/>
    <col collapsed="false" customWidth="true" hidden="false" outlineLevel="0" max="10" min="9" style="1" width="17.41"/>
    <col collapsed="false" customWidth="true" hidden="false" outlineLevel="0" max="11" min="11" style="0" width="11.42"/>
    <col collapsed="false" customWidth="true" hidden="false" outlineLevel="0" max="12" min="12" style="1" width="5.57"/>
    <col collapsed="false" customWidth="true" hidden="false" outlineLevel="0" max="13" min="13" style="1" width="4.57"/>
    <col collapsed="false" customWidth="true" hidden="false" outlineLevel="0" max="15" min="14" style="2" width="7.57"/>
    <col collapsed="false" customWidth="true" hidden="false" outlineLevel="0" max="16" min="16" style="2" width="6.57"/>
    <col collapsed="false" customWidth="true" hidden="false" outlineLevel="0" max="17" min="17" style="2" width="7.57"/>
    <col collapsed="false" customWidth="true" hidden="false" outlineLevel="0" max="19" min="18" style="1" width="6.57"/>
    <col collapsed="false" customWidth="true" hidden="false" outlineLevel="0" max="20" min="20" style="1" width="9.14"/>
  </cols>
  <sheetData>
    <row r="1" customFormat="false" ht="13.8" hidden="false" customHeight="false" outlineLevel="0" collapsed="false">
      <c r="A1" s="35" t="s">
        <v>0</v>
      </c>
      <c r="B1" s="36" t="n">
        <v>101.6</v>
      </c>
      <c r="C1" s="4"/>
      <c r="F1" s="37"/>
      <c r="G1" s="2"/>
      <c r="H1" s="5"/>
    </row>
    <row r="2" customFormat="false" ht="13.8" hidden="false" customHeight="false" outlineLevel="0" collapsed="false">
      <c r="A2" s="1"/>
      <c r="B2" s="38"/>
      <c r="C2" s="1"/>
      <c r="D2" s="1"/>
      <c r="E2" s="39"/>
      <c r="F2" s="37"/>
      <c r="G2" s="2"/>
      <c r="H2" s="5"/>
    </row>
    <row r="3" customFormat="false" ht="18" hidden="false" customHeight="true" outlineLevel="0" collapsed="false">
      <c r="A3" s="7" t="s">
        <v>1</v>
      </c>
      <c r="B3" s="40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9" t="s">
        <v>7</v>
      </c>
      <c r="H3" s="10" t="s">
        <v>8</v>
      </c>
      <c r="I3" s="7" t="s">
        <v>9</v>
      </c>
      <c r="J3" s="7" t="s">
        <v>10</v>
      </c>
      <c r="K3" s="11"/>
    </row>
    <row r="4" customFormat="false" ht="15" hidden="false" customHeight="true" outlineLevel="0" collapsed="false">
      <c r="A4" s="1" t="s">
        <v>154</v>
      </c>
      <c r="B4" s="38" t="s">
        <v>155</v>
      </c>
      <c r="C4" s="1" t="n">
        <v>0</v>
      </c>
      <c r="D4" s="1" t="s">
        <v>156</v>
      </c>
      <c r="E4" s="2" t="n">
        <v>2017.911482</v>
      </c>
      <c r="F4" s="2" t="n">
        <v>2035.03513</v>
      </c>
      <c r="G4" s="2" t="n">
        <f aca="false">F4-E4</f>
        <v>17.123648</v>
      </c>
      <c r="H4" s="5" t="n">
        <f aca="false">G4/0.3048</f>
        <v>56.1799475065617</v>
      </c>
      <c r="I4" s="1" t="s">
        <v>157</v>
      </c>
      <c r="J4" s="1" t="s">
        <v>158</v>
      </c>
      <c r="K4" s="12" t="s">
        <v>14</v>
      </c>
      <c r="L4" s="1" t="n">
        <v>1</v>
      </c>
    </row>
    <row r="5" customFormat="false" ht="15" hidden="false" customHeight="true" outlineLevel="0" collapsed="false">
      <c r="A5" s="1" t="s">
        <v>154</v>
      </c>
      <c r="B5" s="38" t="s">
        <v>159</v>
      </c>
      <c r="C5" s="1" t="n">
        <v>0</v>
      </c>
      <c r="D5" s="1" t="s">
        <v>156</v>
      </c>
      <c r="E5" s="2" t="n">
        <v>2017.911482</v>
      </c>
      <c r="F5" s="2" t="n">
        <v>2035.03513</v>
      </c>
      <c r="G5" s="2" t="n">
        <f aca="false">F5-E5</f>
        <v>17.123648</v>
      </c>
      <c r="H5" s="5" t="n">
        <f aca="false">G5/0.3048</f>
        <v>56.1799475065617</v>
      </c>
      <c r="I5" s="1" t="s">
        <v>157</v>
      </c>
      <c r="J5" s="1" t="s">
        <v>158</v>
      </c>
      <c r="K5" s="12"/>
      <c r="L5" s="1" t="n">
        <v>1</v>
      </c>
    </row>
    <row r="6" customFormat="false" ht="13.8" hidden="false" customHeight="false" outlineLevel="0" collapsed="false">
      <c r="A6" s="1" t="s">
        <v>160</v>
      </c>
      <c r="B6" s="38" t="s">
        <v>155</v>
      </c>
      <c r="C6" s="1" t="n">
        <v>0</v>
      </c>
      <c r="D6" s="1" t="s">
        <v>161</v>
      </c>
      <c r="E6" s="2" t="n">
        <f aca="false">F4</f>
        <v>2035.03513</v>
      </c>
      <c r="F6" s="2" t="n">
        <f aca="false">21*B1</f>
        <v>2133.6</v>
      </c>
      <c r="G6" s="2" t="n">
        <f aca="false">F6-E6</f>
        <v>98.5648699999999</v>
      </c>
      <c r="H6" s="5" t="n">
        <f aca="false">G6/0.3048</f>
        <v>323.375557742782</v>
      </c>
      <c r="I6" s="1" t="s">
        <v>162</v>
      </c>
      <c r="J6" s="1" t="s">
        <v>163</v>
      </c>
      <c r="K6" s="12"/>
      <c r="L6" s="1" t="n">
        <v>2</v>
      </c>
    </row>
    <row r="7" customFormat="false" ht="13.8" hidden="false" customHeight="false" outlineLevel="0" collapsed="false">
      <c r="A7" s="1" t="s">
        <v>160</v>
      </c>
      <c r="B7" s="38" t="s">
        <v>164</v>
      </c>
      <c r="C7" s="1" t="n">
        <v>0</v>
      </c>
      <c r="D7" s="1" t="s">
        <v>161</v>
      </c>
      <c r="E7" s="2" t="n">
        <f aca="false">F4</f>
        <v>2035.03513</v>
      </c>
      <c r="F7" s="2" t="n">
        <f aca="false">21*B1</f>
        <v>2133.6</v>
      </c>
      <c r="G7" s="2" t="n">
        <f aca="false">F7-E7</f>
        <v>98.5648699999999</v>
      </c>
      <c r="H7" s="5" t="n">
        <f aca="false">G7/0.3048</f>
        <v>323.375557742782</v>
      </c>
      <c r="I7" s="1" t="s">
        <v>162</v>
      </c>
      <c r="J7" s="1" t="s">
        <v>163</v>
      </c>
      <c r="K7" s="12"/>
      <c r="L7" s="1" t="n">
        <v>2</v>
      </c>
    </row>
    <row r="8" customFormat="false" ht="13.8" hidden="false" customHeight="false" outlineLevel="0" collapsed="false">
      <c r="A8" s="1" t="s">
        <v>165</v>
      </c>
      <c r="B8" s="38" t="n">
        <v>10</v>
      </c>
      <c r="C8" s="1" t="n">
        <v>0</v>
      </c>
      <c r="D8" s="1" t="s">
        <v>166</v>
      </c>
      <c r="E8" s="2" t="n">
        <f aca="false">F6</f>
        <v>2133.6</v>
      </c>
      <c r="F8" s="2" t="n">
        <f aca="false">22*B1</f>
        <v>2235.2</v>
      </c>
      <c r="G8" s="2" t="n">
        <f aca="false">F8-E8</f>
        <v>101.6</v>
      </c>
      <c r="H8" s="5" t="n">
        <f aca="false">G8/0.3048</f>
        <v>333.333333333333</v>
      </c>
      <c r="I8" s="1" t="s">
        <v>167</v>
      </c>
      <c r="J8" s="1" t="s">
        <v>168</v>
      </c>
      <c r="K8" s="12"/>
      <c r="L8" s="1" t="n">
        <v>3</v>
      </c>
    </row>
    <row r="9" customFormat="false" ht="13.8" hidden="false" customHeight="false" outlineLevel="0" collapsed="false">
      <c r="A9" s="1" t="s">
        <v>169</v>
      </c>
      <c r="B9" s="38" t="n">
        <v>10</v>
      </c>
      <c r="C9" s="1" t="n">
        <v>0</v>
      </c>
      <c r="D9" s="1" t="s">
        <v>166</v>
      </c>
      <c r="E9" s="2" t="n">
        <f aca="false">F8</f>
        <v>2235.2</v>
      </c>
      <c r="F9" s="2" t="n">
        <f aca="false">23*B1</f>
        <v>2336.8</v>
      </c>
      <c r="G9" s="2" t="n">
        <f aca="false">F9-E9</f>
        <v>101.6</v>
      </c>
      <c r="H9" s="5" t="n">
        <f aca="false">G9/0.3048</f>
        <v>333.333333333333</v>
      </c>
      <c r="I9" s="1" t="s">
        <v>170</v>
      </c>
      <c r="J9" s="1" t="s">
        <v>171</v>
      </c>
      <c r="K9" s="12"/>
      <c r="L9" s="1" t="n">
        <v>4</v>
      </c>
    </row>
    <row r="10" customFormat="false" ht="13.8" hidden="false" customHeight="false" outlineLevel="0" collapsed="false">
      <c r="A10" s="1" t="s">
        <v>172</v>
      </c>
      <c r="B10" s="38" t="n">
        <v>10</v>
      </c>
      <c r="C10" s="1" t="n">
        <v>0</v>
      </c>
      <c r="D10" s="1" t="s">
        <v>173</v>
      </c>
      <c r="E10" s="2" t="n">
        <f aca="false">F9</f>
        <v>2336.8</v>
      </c>
      <c r="F10" s="2" t="n">
        <f aca="false">24*B1</f>
        <v>2438.4</v>
      </c>
      <c r="G10" s="2" t="n">
        <f aca="false">F10-E10</f>
        <v>101.6</v>
      </c>
      <c r="H10" s="5" t="n">
        <f aca="false">G10/0.3048</f>
        <v>333.333333333333</v>
      </c>
      <c r="I10" s="1" t="s">
        <v>174</v>
      </c>
      <c r="J10" s="1" t="s">
        <v>175</v>
      </c>
      <c r="K10" s="12"/>
      <c r="L10" s="1" t="n">
        <v>5</v>
      </c>
    </row>
    <row r="11" customFormat="false" ht="13.8" hidden="false" customHeight="false" outlineLevel="0" collapsed="false">
      <c r="A11" s="1" t="s">
        <v>176</v>
      </c>
      <c r="B11" s="38" t="n">
        <v>10</v>
      </c>
      <c r="C11" s="1" t="n">
        <v>0</v>
      </c>
      <c r="D11" s="1" t="s">
        <v>177</v>
      </c>
      <c r="E11" s="2" t="n">
        <f aca="false">F10</f>
        <v>2438.4</v>
      </c>
      <c r="F11" s="2" t="n">
        <f aca="false">25*B1</f>
        <v>2540</v>
      </c>
      <c r="G11" s="2" t="n">
        <f aca="false">F11-E11</f>
        <v>101.6</v>
      </c>
      <c r="H11" s="5" t="n">
        <f aca="false">G11/0.3048</f>
        <v>333.333333333334</v>
      </c>
      <c r="I11" s="1" t="s">
        <v>178</v>
      </c>
      <c r="J11" s="1" t="s">
        <v>179</v>
      </c>
      <c r="K11" s="12"/>
      <c r="L11" s="1" t="n">
        <v>6</v>
      </c>
    </row>
    <row r="12" customFormat="false" ht="13.8" hidden="false" customHeight="false" outlineLevel="0" collapsed="false">
      <c r="A12" s="1" t="s">
        <v>180</v>
      </c>
      <c r="B12" s="38" t="n">
        <v>10</v>
      </c>
      <c r="C12" s="1" t="n">
        <v>0</v>
      </c>
      <c r="D12" s="1" t="s">
        <v>177</v>
      </c>
      <c r="E12" s="2" t="n">
        <f aca="false">F11</f>
        <v>2540</v>
      </c>
      <c r="F12" s="2" t="n">
        <f aca="false">26*B1</f>
        <v>2641.6</v>
      </c>
      <c r="G12" s="2" t="n">
        <f aca="false">F12-E12</f>
        <v>101.6</v>
      </c>
      <c r="H12" s="5" t="n">
        <f aca="false">G12/0.3048</f>
        <v>333.333333333333</v>
      </c>
      <c r="I12" s="1" t="s">
        <v>181</v>
      </c>
      <c r="J12" s="1" t="s">
        <v>182</v>
      </c>
      <c r="K12" s="12"/>
      <c r="L12" s="1" t="n">
        <v>7</v>
      </c>
    </row>
    <row r="13" customFormat="false" ht="13.8" hidden="false" customHeight="false" outlineLevel="0" collapsed="false">
      <c r="A13" s="1" t="s">
        <v>183</v>
      </c>
      <c r="B13" s="38" t="n">
        <v>10</v>
      </c>
      <c r="C13" s="1" t="n">
        <v>0</v>
      </c>
      <c r="D13" s="1" t="s">
        <v>177</v>
      </c>
      <c r="E13" s="2" t="n">
        <f aca="false">F12</f>
        <v>2641.6</v>
      </c>
      <c r="F13" s="2" t="n">
        <f aca="false">27*B1</f>
        <v>2743.2</v>
      </c>
      <c r="G13" s="2" t="n">
        <f aca="false">F13-E13</f>
        <v>101.6</v>
      </c>
      <c r="H13" s="5" t="n">
        <f aca="false">G13/0.3048</f>
        <v>333.333333333333</v>
      </c>
      <c r="I13" s="1" t="s">
        <v>184</v>
      </c>
      <c r="J13" s="1" t="s">
        <v>185</v>
      </c>
      <c r="K13" s="12"/>
      <c r="L13" s="1" t="n">
        <v>8</v>
      </c>
    </row>
    <row r="14" customFormat="false" ht="13.8" hidden="false" customHeight="false" outlineLevel="0" collapsed="false">
      <c r="A14" s="1" t="s">
        <v>87</v>
      </c>
      <c r="B14" s="38" t="n">
        <v>10</v>
      </c>
      <c r="C14" s="1" t="n">
        <v>0</v>
      </c>
      <c r="D14" s="1" t="s">
        <v>177</v>
      </c>
      <c r="E14" s="2" t="n">
        <f aca="false">F13</f>
        <v>2743.2</v>
      </c>
      <c r="F14" s="2" t="n">
        <f aca="false">28*B1</f>
        <v>2844.8</v>
      </c>
      <c r="G14" s="2" t="n">
        <f aca="false">F14-E14</f>
        <v>101.6</v>
      </c>
      <c r="H14" s="5" t="n">
        <f aca="false">G14/0.3048</f>
        <v>333.333333333333</v>
      </c>
      <c r="I14" s="1" t="s">
        <v>186</v>
      </c>
      <c r="J14" s="1" t="s">
        <v>187</v>
      </c>
      <c r="K14" s="12"/>
      <c r="L14" s="1" t="n">
        <v>9</v>
      </c>
    </row>
    <row r="15" customFormat="false" ht="13.8" hidden="false" customHeight="false" outlineLevel="0" collapsed="false">
      <c r="A15" s="1" t="s">
        <v>89</v>
      </c>
      <c r="B15" s="38" t="n">
        <v>10</v>
      </c>
      <c r="C15" s="1" t="n">
        <v>0</v>
      </c>
      <c r="D15" s="1" t="s">
        <v>177</v>
      </c>
      <c r="E15" s="2" t="n">
        <f aca="false">F14</f>
        <v>2844.8</v>
      </c>
      <c r="F15" s="2" t="n">
        <f aca="false">29*B1</f>
        <v>2946.4</v>
      </c>
      <c r="G15" s="2" t="n">
        <f aca="false">F15-E15</f>
        <v>101.6</v>
      </c>
      <c r="H15" s="5" t="n">
        <f aca="false">G15/0.3048</f>
        <v>333.333333333333</v>
      </c>
      <c r="I15" s="1" t="s">
        <v>188</v>
      </c>
      <c r="J15" s="1" t="s">
        <v>189</v>
      </c>
      <c r="K15" s="12"/>
      <c r="L15" s="1" t="n">
        <v>10</v>
      </c>
    </row>
    <row r="16" customFormat="false" ht="13.8" hidden="false" customHeight="false" outlineLevel="0" collapsed="false">
      <c r="A16" s="7" t="s">
        <v>94</v>
      </c>
      <c r="B16" s="40" t="n">
        <v>10</v>
      </c>
      <c r="C16" s="7" t="n">
        <v>0</v>
      </c>
      <c r="D16" s="7" t="s">
        <v>190</v>
      </c>
      <c r="E16" s="9" t="n">
        <f aca="false">F15</f>
        <v>2946.4</v>
      </c>
      <c r="F16" s="9" t="n">
        <v>3050.512</v>
      </c>
      <c r="G16" s="9" t="n">
        <f aca="false">F16-E16</f>
        <v>104.112000000001</v>
      </c>
      <c r="H16" s="10" t="n">
        <f aca="false">G16/0.3048</f>
        <v>341.574803149608</v>
      </c>
      <c r="I16" s="7" t="s">
        <v>191</v>
      </c>
      <c r="J16" s="32" t="s">
        <v>192</v>
      </c>
      <c r="K16" s="12"/>
      <c r="L16" s="1" t="n">
        <v>11</v>
      </c>
    </row>
    <row r="17" customFormat="false" ht="15" hidden="false" customHeight="true" outlineLevel="0" collapsed="false">
      <c r="A17" s="1" t="s">
        <v>101</v>
      </c>
      <c r="B17" s="38" t="s">
        <v>155</v>
      </c>
      <c r="C17" s="1" t="n">
        <v>1</v>
      </c>
      <c r="D17" s="1" t="s">
        <v>193</v>
      </c>
      <c r="E17" s="2" t="n">
        <v>2.512</v>
      </c>
      <c r="F17" s="2" t="n">
        <v>176.021</v>
      </c>
      <c r="G17" s="2" t="n">
        <f aca="false">F17-E17</f>
        <v>173.509</v>
      </c>
      <c r="H17" s="5" t="n">
        <f aca="false">G17/0.3048</f>
        <v>569.255249343832</v>
      </c>
      <c r="I17" s="1" t="s">
        <v>194</v>
      </c>
      <c r="J17" s="1" t="s">
        <v>195</v>
      </c>
      <c r="K17" s="41" t="s">
        <v>105</v>
      </c>
      <c r="L17" s="1" t="n">
        <v>12</v>
      </c>
    </row>
    <row r="18" customFormat="false" ht="15" hidden="false" customHeight="true" outlineLevel="0" collapsed="false">
      <c r="A18" s="1" t="s">
        <v>101</v>
      </c>
      <c r="B18" s="38" t="s">
        <v>196</v>
      </c>
      <c r="C18" s="1" t="n">
        <v>1</v>
      </c>
      <c r="D18" s="1" t="s">
        <v>193</v>
      </c>
      <c r="E18" s="2" t="n">
        <v>2.512</v>
      </c>
      <c r="F18" s="2" t="n">
        <v>176.021</v>
      </c>
      <c r="G18" s="2" t="n">
        <f aca="false">F18-E18</f>
        <v>173.509</v>
      </c>
      <c r="H18" s="5" t="n">
        <f aca="false">G18/0.3048</f>
        <v>569.255249343832</v>
      </c>
      <c r="I18" s="1" t="s">
        <v>194</v>
      </c>
      <c r="J18" s="1" t="s">
        <v>195</v>
      </c>
      <c r="K18" s="41"/>
      <c r="L18" s="1" t="n">
        <v>12</v>
      </c>
    </row>
    <row r="19" customFormat="false" ht="15" hidden="false" customHeight="true" outlineLevel="0" collapsed="false">
      <c r="A19" s="1" t="s">
        <v>197</v>
      </c>
      <c r="B19" s="38" t="n">
        <v>10</v>
      </c>
      <c r="C19" s="1" t="n">
        <v>1</v>
      </c>
      <c r="D19" s="1" t="s">
        <v>198</v>
      </c>
      <c r="E19" s="2" t="n">
        <f aca="false">F17</f>
        <v>176.021</v>
      </c>
      <c r="F19" s="2" t="n">
        <v>203.53</v>
      </c>
      <c r="G19" s="2" t="n">
        <f aca="false">F19-E19</f>
        <v>27.509</v>
      </c>
      <c r="H19" s="5" t="n">
        <f aca="false">G19/0.3048</f>
        <v>90.2526246719161</v>
      </c>
      <c r="I19" s="1" t="s">
        <v>199</v>
      </c>
      <c r="K19" s="41"/>
      <c r="L19" s="1" t="n">
        <v>13</v>
      </c>
    </row>
    <row r="20" customFormat="false" ht="13.8" hidden="false" customHeight="false" outlineLevel="0" collapsed="false">
      <c r="A20" s="1" t="s">
        <v>200</v>
      </c>
      <c r="B20" s="38" t="n">
        <v>10</v>
      </c>
      <c r="C20" s="1" t="n">
        <v>1</v>
      </c>
      <c r="D20" s="1" t="s">
        <v>198</v>
      </c>
      <c r="E20" s="2" t="n">
        <f aca="false">F19</f>
        <v>203.53</v>
      </c>
      <c r="F20" s="2" t="n">
        <v>231.2793</v>
      </c>
      <c r="G20" s="2" t="n">
        <f aca="false">F20-E20</f>
        <v>27.7493</v>
      </c>
      <c r="H20" s="5" t="n">
        <f aca="false">G20/0.3048</f>
        <v>91.0410104986877</v>
      </c>
      <c r="K20" s="41"/>
      <c r="L20" s="1" t="n">
        <v>14</v>
      </c>
    </row>
    <row r="21" customFormat="false" ht="13.8" hidden="false" customHeight="false" outlineLevel="0" collapsed="false">
      <c r="A21" s="1" t="s">
        <v>201</v>
      </c>
      <c r="B21" s="38" t="n">
        <v>10</v>
      </c>
      <c r="C21" s="1" t="n">
        <v>1</v>
      </c>
      <c r="D21" s="1" t="s">
        <v>198</v>
      </c>
      <c r="E21" s="2" t="n">
        <f aca="false">F20</f>
        <v>231.2793</v>
      </c>
      <c r="F21" s="2" t="n">
        <v>260.48</v>
      </c>
      <c r="G21" s="2" t="n">
        <f aca="false">F21-E21</f>
        <v>29.2007</v>
      </c>
      <c r="H21" s="5" t="n">
        <f aca="false">G21/0.3048</f>
        <v>95.8028215223098</v>
      </c>
      <c r="K21" s="41"/>
      <c r="L21" s="1" t="n">
        <v>15</v>
      </c>
    </row>
    <row r="22" customFormat="false" ht="13.8" hidden="false" customHeight="false" outlineLevel="0" collapsed="false">
      <c r="A22" s="1" t="s">
        <v>202</v>
      </c>
      <c r="B22" s="38" t="n">
        <v>10</v>
      </c>
      <c r="C22" s="1" t="n">
        <v>1</v>
      </c>
      <c r="D22" s="1" t="s">
        <v>198</v>
      </c>
      <c r="E22" s="2" t="n">
        <f aca="false">F21</f>
        <v>260.48</v>
      </c>
      <c r="F22" s="2" t="n">
        <v>286.76</v>
      </c>
      <c r="G22" s="2" t="n">
        <f aca="false">F22-E22</f>
        <v>26.28</v>
      </c>
      <c r="H22" s="5" t="n">
        <f aca="false">G22/0.3048</f>
        <v>86.2204724409448</v>
      </c>
      <c r="K22" s="41"/>
      <c r="L22" s="1" t="n">
        <v>16</v>
      </c>
    </row>
    <row r="23" customFormat="false" ht="13.8" hidden="false" customHeight="false" outlineLevel="0" collapsed="false">
      <c r="A23" s="1" t="s">
        <v>203</v>
      </c>
      <c r="B23" s="38" t="n">
        <v>10</v>
      </c>
      <c r="C23" s="1" t="n">
        <v>1</v>
      </c>
      <c r="D23" s="1" t="s">
        <v>198</v>
      </c>
      <c r="E23" s="2" t="n">
        <f aca="false">F22</f>
        <v>286.76</v>
      </c>
      <c r="F23" s="2" t="n">
        <v>314.53</v>
      </c>
      <c r="G23" s="2" t="n">
        <f aca="false">F23-E23</f>
        <v>27.77</v>
      </c>
      <c r="H23" s="5" t="n">
        <f aca="false">G23/0.3048</f>
        <v>91.1089238845144</v>
      </c>
      <c r="K23" s="41"/>
      <c r="L23" s="1" t="n">
        <v>17</v>
      </c>
    </row>
    <row r="24" customFormat="false" ht="13.8" hidden="false" customHeight="false" outlineLevel="0" collapsed="false">
      <c r="A24" s="1" t="s">
        <v>204</v>
      </c>
      <c r="B24" s="38" t="n">
        <v>10</v>
      </c>
      <c r="C24" s="1" t="n">
        <v>1</v>
      </c>
      <c r="D24" s="1" t="s">
        <v>198</v>
      </c>
      <c r="E24" s="2" t="n">
        <f aca="false">F23</f>
        <v>314.53</v>
      </c>
      <c r="F24" s="2" t="n">
        <v>342.27</v>
      </c>
      <c r="G24" s="2" t="n">
        <f aca="false">F24-E24</f>
        <v>27.74</v>
      </c>
      <c r="H24" s="5" t="n">
        <f aca="false">G24/0.3048</f>
        <v>91.0104986876641</v>
      </c>
      <c r="K24" s="41"/>
      <c r="L24" s="1" t="n">
        <v>18</v>
      </c>
    </row>
    <row r="25" customFormat="false" ht="13.8" hidden="false" customHeight="false" outlineLevel="0" collapsed="false">
      <c r="A25" s="1" t="s">
        <v>205</v>
      </c>
      <c r="B25" s="38" t="n">
        <v>10</v>
      </c>
      <c r="C25" s="1" t="n">
        <v>1</v>
      </c>
      <c r="D25" s="1" t="s">
        <v>198</v>
      </c>
      <c r="E25" s="2" t="n">
        <f aca="false">F24</f>
        <v>342.27</v>
      </c>
      <c r="F25" s="2" t="n">
        <v>371.42</v>
      </c>
      <c r="G25" s="2" t="n">
        <f aca="false">F25-E25</f>
        <v>29.15</v>
      </c>
      <c r="H25" s="5" t="n">
        <f aca="false">G25/0.3048</f>
        <v>95.6364829396327</v>
      </c>
      <c r="K25" s="41"/>
      <c r="L25" s="1" t="n">
        <v>19</v>
      </c>
    </row>
    <row r="26" customFormat="false" ht="13.8" hidden="false" customHeight="false" outlineLevel="0" collapsed="false">
      <c r="A26" s="1" t="s">
        <v>206</v>
      </c>
      <c r="B26" s="38" t="n">
        <v>10</v>
      </c>
      <c r="C26" s="1" t="n">
        <v>1</v>
      </c>
      <c r="D26" s="1" t="s">
        <v>198</v>
      </c>
      <c r="E26" s="2" t="n">
        <f aca="false">F25</f>
        <v>371.42</v>
      </c>
      <c r="F26" s="2" t="n">
        <v>397.76</v>
      </c>
      <c r="G26" s="2" t="n">
        <f aca="false">F26-E26</f>
        <v>26.34</v>
      </c>
      <c r="H26" s="5" t="n">
        <f aca="false">G26/0.3048</f>
        <v>86.4173228346456</v>
      </c>
      <c r="K26" s="41"/>
      <c r="L26" s="1" t="n">
        <v>20</v>
      </c>
    </row>
    <row r="27" customFormat="false" ht="13.8" hidden="false" customHeight="false" outlineLevel="0" collapsed="false">
      <c r="A27" s="1" t="s">
        <v>207</v>
      </c>
      <c r="B27" s="38" t="n">
        <v>10</v>
      </c>
      <c r="C27" s="1" t="n">
        <v>1</v>
      </c>
      <c r="D27" s="1" t="s">
        <v>198</v>
      </c>
      <c r="E27" s="2" t="n">
        <f aca="false">F26</f>
        <v>397.76</v>
      </c>
      <c r="F27" s="2" t="n">
        <v>425.53</v>
      </c>
      <c r="G27" s="2" t="n">
        <f aca="false">F27-E27</f>
        <v>27.77</v>
      </c>
      <c r="H27" s="5" t="n">
        <f aca="false">G27/0.3048</f>
        <v>91.1089238845144</v>
      </c>
      <c r="K27" s="41"/>
      <c r="L27" s="1" t="n">
        <v>21</v>
      </c>
    </row>
    <row r="28" customFormat="false" ht="13.8" hidden="false" customHeight="false" outlineLevel="0" collapsed="false">
      <c r="A28" s="1" t="s">
        <v>208</v>
      </c>
      <c r="B28" s="38" t="n">
        <v>10</v>
      </c>
      <c r="C28" s="1" t="n">
        <v>1</v>
      </c>
      <c r="D28" s="1" t="s">
        <v>198</v>
      </c>
      <c r="E28" s="2" t="n">
        <f aca="false">F27</f>
        <v>425.53</v>
      </c>
      <c r="F28" s="2" t="n">
        <v>453.28</v>
      </c>
      <c r="G28" s="2" t="n">
        <f aca="false">F28-E28</f>
        <v>27.75</v>
      </c>
      <c r="H28" s="5" t="n">
        <f aca="false">G28/0.3048</f>
        <v>91.0433070866142</v>
      </c>
      <c r="K28" s="41"/>
      <c r="L28" s="1" t="n">
        <v>22</v>
      </c>
    </row>
    <row r="29" customFormat="false" ht="13.8" hidden="false" customHeight="false" outlineLevel="0" collapsed="false">
      <c r="A29" s="1" t="s">
        <v>209</v>
      </c>
      <c r="B29" s="38" t="n">
        <v>10</v>
      </c>
      <c r="C29" s="1" t="n">
        <v>1</v>
      </c>
      <c r="D29" s="1" t="s">
        <v>198</v>
      </c>
      <c r="E29" s="2" t="n">
        <f aca="false">F28</f>
        <v>453.28</v>
      </c>
      <c r="F29" s="2" t="n">
        <v>481.03</v>
      </c>
      <c r="G29" s="2" t="n">
        <f aca="false">F29-E29</f>
        <v>27.75</v>
      </c>
      <c r="H29" s="5" t="n">
        <f aca="false">G29/0.3048</f>
        <v>91.0433070866142</v>
      </c>
      <c r="K29" s="41"/>
      <c r="L29" s="1" t="n">
        <v>23</v>
      </c>
    </row>
    <row r="30" customFormat="false" ht="13.8" hidden="false" customHeight="false" outlineLevel="0" collapsed="false">
      <c r="A30" s="1" t="s">
        <v>210</v>
      </c>
      <c r="B30" s="38" t="n">
        <v>10</v>
      </c>
      <c r="C30" s="1" t="n">
        <v>1</v>
      </c>
      <c r="D30" s="1" t="s">
        <v>198</v>
      </c>
      <c r="E30" s="2" t="n">
        <f aca="false">F29</f>
        <v>481.03</v>
      </c>
      <c r="F30" s="2" t="n">
        <v>514.740001</v>
      </c>
      <c r="G30" s="2" t="n">
        <f aca="false">F30-E30</f>
        <v>33.710001</v>
      </c>
      <c r="H30" s="5" t="n">
        <f aca="false">G30/0.3048</f>
        <v>110.597116141732</v>
      </c>
      <c r="J30" s="1" t="s">
        <v>211</v>
      </c>
      <c r="K30" s="41"/>
      <c r="L30" s="1" t="n">
        <v>24</v>
      </c>
    </row>
    <row r="31" customFormat="false" ht="13.8" hidden="false" customHeight="false" outlineLevel="0" collapsed="false">
      <c r="A31" s="1" t="s">
        <v>212</v>
      </c>
      <c r="B31" s="38" t="n">
        <v>10</v>
      </c>
      <c r="C31" s="1" t="n">
        <v>1</v>
      </c>
      <c r="D31" s="1" t="s">
        <v>213</v>
      </c>
      <c r="E31" s="2" t="n">
        <f aca="false">F30</f>
        <v>514.740001</v>
      </c>
      <c r="F31" s="2" t="n">
        <v>551.208985</v>
      </c>
      <c r="G31" s="2" t="n">
        <f aca="false">F31-E31</f>
        <v>36.468984</v>
      </c>
      <c r="H31" s="2" t="n">
        <f aca="false">G31/0.3048</f>
        <v>119.648897637795</v>
      </c>
      <c r="I31" s="1" t="s">
        <v>214</v>
      </c>
      <c r="K31" s="41"/>
      <c r="L31" s="1" t="n">
        <v>25</v>
      </c>
    </row>
    <row r="32" customFormat="false" ht="13.8" hidden="false" customHeight="false" outlineLevel="0" collapsed="false">
      <c r="A32" s="1" t="s">
        <v>215</v>
      </c>
      <c r="B32" s="38" t="n">
        <v>10</v>
      </c>
      <c r="C32" s="1" t="n">
        <v>1</v>
      </c>
      <c r="D32" s="1" t="s">
        <v>213</v>
      </c>
      <c r="E32" s="2" t="n">
        <f aca="false">F31</f>
        <v>551.208985</v>
      </c>
      <c r="F32" s="2" t="n">
        <v>587.322985</v>
      </c>
      <c r="G32" s="2" t="n">
        <f aca="false">F32-E32</f>
        <v>36.114</v>
      </c>
      <c r="H32" s="2" t="n">
        <f aca="false">G32/0.3048</f>
        <v>118.484251968504</v>
      </c>
      <c r="K32" s="41"/>
      <c r="L32" s="1" t="n">
        <v>26</v>
      </c>
    </row>
    <row r="33" customFormat="false" ht="13.8" hidden="false" customHeight="false" outlineLevel="0" collapsed="false">
      <c r="A33" s="1" t="s">
        <v>216</v>
      </c>
      <c r="B33" s="38" t="n">
        <v>10</v>
      </c>
      <c r="C33" s="1" t="n">
        <v>1</v>
      </c>
      <c r="D33" s="1" t="s">
        <v>213</v>
      </c>
      <c r="E33" s="2" t="n">
        <f aca="false">F32</f>
        <v>587.322985</v>
      </c>
      <c r="F33" s="2" t="n">
        <v>623.436985</v>
      </c>
      <c r="G33" s="2" t="n">
        <f aca="false">F33-E33</f>
        <v>36.114</v>
      </c>
      <c r="H33" s="2" t="n">
        <f aca="false">G33/0.3048</f>
        <v>118.484251968504</v>
      </c>
      <c r="K33" s="41"/>
      <c r="L33" s="1" t="n">
        <v>27</v>
      </c>
    </row>
    <row r="34" customFormat="false" ht="13.8" hidden="false" customHeight="false" outlineLevel="0" collapsed="false">
      <c r="A34" s="1" t="s">
        <v>217</v>
      </c>
      <c r="B34" s="38" t="n">
        <v>10</v>
      </c>
      <c r="C34" s="1" t="n">
        <v>1</v>
      </c>
      <c r="D34" s="1" t="s">
        <v>213</v>
      </c>
      <c r="E34" s="2" t="n">
        <f aca="false">F33</f>
        <v>623.436985</v>
      </c>
      <c r="F34" s="2" t="n">
        <v>670.486493</v>
      </c>
      <c r="G34" s="2" t="n">
        <f aca="false">F34-E34</f>
        <v>47.0495079999999</v>
      </c>
      <c r="H34" s="2" t="n">
        <f aca="false">G34/0.3048</f>
        <v>154.361902887139</v>
      </c>
      <c r="J34" s="1" t="s">
        <v>218</v>
      </c>
      <c r="K34" s="41"/>
      <c r="L34" s="1" t="n">
        <v>28</v>
      </c>
    </row>
    <row r="35" customFormat="false" ht="13.8" hidden="false" customHeight="false" outlineLevel="0" collapsed="false">
      <c r="A35" s="1" t="s">
        <v>219</v>
      </c>
      <c r="B35" s="38" t="n">
        <v>10</v>
      </c>
      <c r="C35" s="1" t="n">
        <v>1</v>
      </c>
      <c r="D35" s="1" t="s">
        <v>220</v>
      </c>
      <c r="E35" s="2" t="n">
        <f aca="false">F34</f>
        <v>670.486493</v>
      </c>
      <c r="F35" s="2" t="n">
        <v>686.41</v>
      </c>
      <c r="G35" s="2" t="n">
        <f aca="false">F35-E35</f>
        <v>15.923507</v>
      </c>
      <c r="H35" s="5" t="n">
        <f aca="false">G35/0.3048</f>
        <v>52.2424770341206</v>
      </c>
      <c r="I35" s="1" t="s">
        <v>221</v>
      </c>
      <c r="J35" s="1" t="s">
        <v>222</v>
      </c>
      <c r="K35" s="41"/>
      <c r="L35" s="1" t="n">
        <v>29</v>
      </c>
    </row>
    <row r="36" customFormat="false" ht="13.8" hidden="false" customHeight="false" outlineLevel="0" collapsed="false">
      <c r="A36" s="1" t="s">
        <v>223</v>
      </c>
      <c r="B36" s="38" t="n">
        <v>10</v>
      </c>
      <c r="C36" s="1" t="n">
        <v>1</v>
      </c>
      <c r="D36" s="1" t="s">
        <v>224</v>
      </c>
      <c r="E36" s="2" t="n">
        <f aca="false">F35</f>
        <v>686.41</v>
      </c>
      <c r="F36" s="2" t="n">
        <v>717.475</v>
      </c>
      <c r="G36" s="2" t="n">
        <f aca="false">F36-E36</f>
        <v>31.0650000000001</v>
      </c>
      <c r="H36" s="5" t="n">
        <f aca="false">G36/0.3048</f>
        <v>101.919291338583</v>
      </c>
      <c r="I36" s="1" t="s">
        <v>225</v>
      </c>
      <c r="J36" s="1" t="s">
        <v>226</v>
      </c>
      <c r="K36" s="41"/>
      <c r="L36" s="1" t="n">
        <v>30</v>
      </c>
    </row>
    <row r="37" customFormat="false" ht="13.8" hidden="false" customHeight="false" outlineLevel="0" collapsed="false">
      <c r="A37" s="1" t="s">
        <v>227</v>
      </c>
      <c r="B37" s="38" t="n">
        <v>11</v>
      </c>
      <c r="C37" s="1" t="n">
        <v>1</v>
      </c>
      <c r="D37" s="1" t="s">
        <v>228</v>
      </c>
      <c r="E37" s="2" t="n">
        <v>686.410331</v>
      </c>
      <c r="F37" s="2" t="n">
        <v>714.076201</v>
      </c>
      <c r="G37" s="2" t="n">
        <f aca="false">F37-E37</f>
        <v>27.6658699999999</v>
      </c>
      <c r="H37" s="5" t="n">
        <f aca="false">G37/0.3048</f>
        <v>90.7672900262465</v>
      </c>
      <c r="I37" s="1" t="s">
        <v>229</v>
      </c>
      <c r="J37" s="1" t="s">
        <v>230</v>
      </c>
      <c r="K37" s="41"/>
      <c r="L37" s="1" t="n">
        <v>31</v>
      </c>
    </row>
    <row r="38" customFormat="false" ht="13.8" hidden="false" customHeight="false" outlineLevel="0" collapsed="false">
      <c r="A38" s="1" t="s">
        <v>150</v>
      </c>
      <c r="B38" s="38" t="n">
        <v>15</v>
      </c>
      <c r="C38" s="1" t="n">
        <v>1</v>
      </c>
      <c r="D38" s="1" t="s">
        <v>150</v>
      </c>
      <c r="E38" s="2" t="n">
        <v>69.408165</v>
      </c>
      <c r="F38" s="2" t="n">
        <v>313.055703</v>
      </c>
      <c r="G38" s="2" t="n">
        <f aca="false">F38-E38</f>
        <v>243.647538</v>
      </c>
      <c r="H38" s="5" t="n">
        <f aca="false">G38/0.3048</f>
        <v>799.368562992126</v>
      </c>
      <c r="I38" s="1" t="s">
        <v>231</v>
      </c>
      <c r="J38" s="1" t="s">
        <v>151</v>
      </c>
      <c r="K38" s="41"/>
      <c r="L38" s="1" t="n">
        <v>32</v>
      </c>
    </row>
    <row r="39" customFormat="false" ht="13.8" hidden="false" customHeight="false" outlineLevel="0" collapsed="false">
      <c r="A39" s="1" t="s">
        <v>232</v>
      </c>
      <c r="B39" s="38" t="n">
        <v>12</v>
      </c>
      <c r="C39" s="1" t="n">
        <v>1</v>
      </c>
      <c r="D39" s="1" t="s">
        <v>233</v>
      </c>
      <c r="E39" s="2" t="n">
        <v>700.528</v>
      </c>
      <c r="F39" s="2" t="n">
        <v>759.061929</v>
      </c>
      <c r="G39" s="2" t="n">
        <f aca="false">F39-E39</f>
        <v>58.5339289999999</v>
      </c>
      <c r="H39" s="5" t="n">
        <f aca="false">G39/0.3048</f>
        <v>192.040449475065</v>
      </c>
      <c r="I39" s="1" t="s">
        <v>234</v>
      </c>
      <c r="J39" s="31" t="s">
        <v>235</v>
      </c>
      <c r="K39" s="41"/>
      <c r="L39" s="1" t="n">
        <v>33</v>
      </c>
    </row>
    <row r="40" customFormat="false" ht="13.8" hidden="false" customHeight="false" outlineLevel="0" collapsed="false">
      <c r="A40" s="7" t="s">
        <v>232</v>
      </c>
      <c r="B40" s="40" t="n">
        <v>13</v>
      </c>
      <c r="C40" s="7" t="n">
        <v>1</v>
      </c>
      <c r="D40" s="7" t="s">
        <v>236</v>
      </c>
      <c r="E40" s="9" t="n">
        <v>739.999999</v>
      </c>
      <c r="F40" s="9" t="n">
        <v>758.360869</v>
      </c>
      <c r="G40" s="9" t="n">
        <f aca="false">F40-E40</f>
        <v>18.36087</v>
      </c>
      <c r="H40" s="10" t="n">
        <f aca="false">G40/0.3048</f>
        <v>60.2390748031495</v>
      </c>
      <c r="I40" s="7" t="s">
        <v>237</v>
      </c>
      <c r="J40" s="32" t="s">
        <v>238</v>
      </c>
      <c r="K40" s="41"/>
      <c r="L40" s="1" t="n">
        <v>34</v>
      </c>
    </row>
    <row r="41" customFormat="false" ht="13.8" hidden="false" customHeight="false" outlineLevel="0" collapsed="false">
      <c r="K41" s="42"/>
    </row>
    <row r="42" customFormat="false" ht="13.8" hidden="false" customHeight="false" outlineLevel="0" collapsed="false">
      <c r="A42" s="1" t="s">
        <v>152</v>
      </c>
      <c r="B42" s="38"/>
      <c r="K42" s="42"/>
    </row>
    <row r="43" customFormat="false" ht="13.8" hidden="false" customHeight="false" outlineLevel="0" collapsed="false">
      <c r="A43" s="1" t="n">
        <v>1</v>
      </c>
      <c r="B43" s="36" t="s">
        <v>153</v>
      </c>
      <c r="K43" s="42"/>
    </row>
    <row r="44" customFormat="false" ht="13.8" hidden="false" customHeight="false" outlineLevel="0" collapsed="false">
      <c r="K44" s="42"/>
    </row>
    <row r="45" customFormat="false" ht="13.8" hidden="false" customHeight="false" outlineLevel="0" collapsed="false">
      <c r="K45" s="42"/>
    </row>
    <row r="46" customFormat="false" ht="13.8" hidden="false" customHeight="false" outlineLevel="0" collapsed="false">
      <c r="K46" s="42"/>
    </row>
    <row r="47" customFormat="false" ht="13.8" hidden="false" customHeight="false" outlineLevel="0" collapsed="false">
      <c r="K47" s="42"/>
    </row>
    <row r="48" customFormat="false" ht="13.8" hidden="false" customHeight="false" outlineLevel="0" collapsed="false">
      <c r="K48" s="42"/>
    </row>
    <row r="49" customFormat="false" ht="13.8" hidden="false" customHeight="false" outlineLevel="0" collapsed="false">
      <c r="K49" s="42"/>
    </row>
    <row r="50" customFormat="false" ht="13.8" hidden="false" customHeight="false" outlineLevel="0" collapsed="false">
      <c r="K50" s="42"/>
    </row>
    <row r="51" customFormat="false" ht="13.8" hidden="false" customHeight="false" outlineLevel="0" collapsed="false">
      <c r="K51" s="42"/>
    </row>
    <row r="52" customFormat="false" ht="13.8" hidden="false" customHeight="false" outlineLevel="0" collapsed="false">
      <c r="K52" s="42"/>
    </row>
    <row r="53" customFormat="false" ht="13.8" hidden="false" customHeight="false" outlineLevel="0" collapsed="false">
      <c r="K53" s="42"/>
    </row>
    <row r="54" customFormat="false" ht="13.8" hidden="false" customHeight="false" outlineLevel="0" collapsed="false">
      <c r="K54" s="42"/>
    </row>
    <row r="55" customFormat="false" ht="13.8" hidden="false" customHeight="false" outlineLevel="0" collapsed="false">
      <c r="K55" s="42"/>
    </row>
    <row r="56" customFormat="false" ht="13.8" hidden="false" customHeight="false" outlineLevel="0" collapsed="false">
      <c r="K56" s="42"/>
    </row>
    <row r="57" customFormat="false" ht="13.8" hidden="false" customHeight="false" outlineLevel="0" collapsed="false">
      <c r="K57" s="42"/>
    </row>
    <row r="58" customFormat="false" ht="13.8" hidden="false" customHeight="false" outlineLevel="0" collapsed="false">
      <c r="K58" s="42"/>
    </row>
    <row r="59" customFormat="false" ht="13.8" hidden="false" customHeight="false" outlineLevel="0" collapsed="false">
      <c r="K59" s="42"/>
    </row>
  </sheetData>
  <mergeCells count="2">
    <mergeCell ref="K4:K16"/>
    <mergeCell ref="K17:K40"/>
  </mergeCells>
  <printOptions headings="false" gridLines="false" gridLinesSet="true" horizontalCentered="false" verticalCentered="false"/>
  <pageMargins left="0.5" right="0.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9.14"/>
    <col collapsed="false" customWidth="true" hidden="false" outlineLevel="0" max="3" min="3" style="1" width="10.28"/>
    <col collapsed="false" customWidth="true" hidden="false" outlineLevel="0" max="5" min="4" style="2" width="10.59"/>
    <col collapsed="false" customWidth="true" hidden="false" outlineLevel="0" max="6" min="6" style="2" width="9.14"/>
    <col collapsed="false" customWidth="true" hidden="false" outlineLevel="0" max="7" min="7" style="5" width="9.14"/>
    <col collapsed="false" customWidth="true" hidden="false" outlineLevel="0" max="8" min="8" style="0" width="9.71"/>
  </cols>
  <sheetData>
    <row r="1" customFormat="false" ht="15.75" hidden="false" customHeight="false" outlineLevel="0" collapsed="false">
      <c r="A1" s="7" t="s">
        <v>239</v>
      </c>
      <c r="B1" s="7" t="s">
        <v>2</v>
      </c>
      <c r="C1" s="7" t="s">
        <v>4</v>
      </c>
      <c r="D1" s="9" t="s">
        <v>5</v>
      </c>
      <c r="E1" s="9" t="s">
        <v>6</v>
      </c>
      <c r="F1" s="9" t="s">
        <v>7</v>
      </c>
      <c r="G1" s="10" t="s">
        <v>8</v>
      </c>
    </row>
    <row r="2" customFormat="false" ht="15" hidden="false" customHeight="false" outlineLevel="0" collapsed="false">
      <c r="A2" s="1" t="s">
        <v>240</v>
      </c>
      <c r="B2" s="1" t="n">
        <v>1</v>
      </c>
      <c r="C2" s="1" t="s">
        <v>241</v>
      </c>
      <c r="D2" s="2" t="n">
        <v>517.54</v>
      </c>
      <c r="E2" s="2" t="n">
        <v>519.986492</v>
      </c>
      <c r="F2" s="2" t="n">
        <f aca="false">E2-D2</f>
        <v>2.44649200000003</v>
      </c>
      <c r="G2" s="5" t="n">
        <f aca="false">F2/0.3048</f>
        <v>8.02654855643056</v>
      </c>
      <c r="H2" s="0" t="s">
        <v>242</v>
      </c>
    </row>
    <row r="3" customFormat="false" ht="15" hidden="false" customHeight="false" outlineLevel="0" collapsed="false">
      <c r="A3" s="1" t="s">
        <v>243</v>
      </c>
      <c r="B3" s="1" t="n">
        <v>1</v>
      </c>
      <c r="C3" s="1" t="s">
        <v>244</v>
      </c>
      <c r="D3" s="2" t="n">
        <v>519.986492</v>
      </c>
      <c r="E3" s="2" t="n">
        <v>524.386492</v>
      </c>
      <c r="F3" s="2" t="n">
        <f aca="false">E3-D3</f>
        <v>4.39999999999998</v>
      </c>
      <c r="G3" s="5" t="n">
        <f aca="false">F3/0.3048</f>
        <v>14.4356955380577</v>
      </c>
      <c r="H3" s="0" t="s">
        <v>242</v>
      </c>
    </row>
    <row r="4" customFormat="false" ht="15" hidden="false" customHeight="false" outlineLevel="0" collapsed="false">
      <c r="A4" s="1" t="s">
        <v>245</v>
      </c>
      <c r="B4" s="1" t="n">
        <v>1</v>
      </c>
      <c r="C4" s="1" t="s">
        <v>246</v>
      </c>
      <c r="D4" s="2" t="n">
        <v>524.386492</v>
      </c>
      <c r="E4" s="2" t="n">
        <v>528.786492</v>
      </c>
      <c r="F4" s="2" t="n">
        <f aca="false">E4-D4</f>
        <v>4.39999999999998</v>
      </c>
      <c r="G4" s="5" t="n">
        <f aca="false">F4/0.3048</f>
        <v>14.4356955380577</v>
      </c>
      <c r="H4" s="0" t="s">
        <v>242</v>
      </c>
    </row>
    <row r="5" customFormat="false" ht="15" hidden="false" customHeight="false" outlineLevel="0" collapsed="false">
      <c r="A5" s="1" t="s">
        <v>247</v>
      </c>
      <c r="B5" s="1" t="n">
        <v>1</v>
      </c>
      <c r="C5" s="1" t="s">
        <v>248</v>
      </c>
      <c r="D5" s="2" t="n">
        <v>528.786492</v>
      </c>
      <c r="E5" s="2" t="n">
        <v>533.186492</v>
      </c>
      <c r="F5" s="2" t="n">
        <f aca="false">E5-D5</f>
        <v>4.40000000000009</v>
      </c>
      <c r="G5" s="5" t="n">
        <f aca="false">F5/0.3048</f>
        <v>14.435695538058</v>
      </c>
      <c r="H5" s="0" t="s">
        <v>242</v>
      </c>
    </row>
    <row r="6" customFormat="false" ht="15" hidden="false" customHeight="false" outlineLevel="0" collapsed="false">
      <c r="A6" s="1" t="s">
        <v>249</v>
      </c>
      <c r="B6" s="1" t="n">
        <v>1</v>
      </c>
      <c r="C6" s="1" t="s">
        <v>250</v>
      </c>
      <c r="D6" s="2" t="n">
        <v>533.186492</v>
      </c>
      <c r="E6" s="2" t="n">
        <v>537.586492</v>
      </c>
      <c r="F6" s="2" t="n">
        <f aca="false">E6-D6</f>
        <v>4.39999999999998</v>
      </c>
      <c r="G6" s="5" t="n">
        <f aca="false">F6/0.3048</f>
        <v>14.4356955380577</v>
      </c>
      <c r="H6" s="0" t="s">
        <v>242</v>
      </c>
    </row>
    <row r="7" customFormat="false" ht="15" hidden="false" customHeight="false" outlineLevel="0" collapsed="false">
      <c r="A7" s="1" t="s">
        <v>251</v>
      </c>
      <c r="B7" s="1" t="n">
        <v>1</v>
      </c>
      <c r="C7" s="1" t="s">
        <v>252</v>
      </c>
      <c r="D7" s="2" t="n">
        <v>537.586492</v>
      </c>
      <c r="E7" s="2" t="n">
        <v>541.986492</v>
      </c>
      <c r="F7" s="2" t="n">
        <f aca="false">E7-D7</f>
        <v>4.39999999999998</v>
      </c>
      <c r="G7" s="5" t="n">
        <f aca="false">F7/0.3048</f>
        <v>14.4356955380577</v>
      </c>
      <c r="H7" s="0" t="s">
        <v>242</v>
      </c>
    </row>
    <row r="8" customFormat="false" ht="15" hidden="false" customHeight="false" outlineLevel="0" collapsed="false">
      <c r="A8" s="1" t="s">
        <v>253</v>
      </c>
      <c r="B8" s="1" t="n">
        <v>1</v>
      </c>
      <c r="C8" s="1" t="s">
        <v>254</v>
      </c>
      <c r="D8" s="2" t="n">
        <v>541.986492</v>
      </c>
      <c r="E8" s="2" t="n">
        <v>546.386492</v>
      </c>
      <c r="F8" s="2" t="n">
        <f aca="false">E8-D8</f>
        <v>4.39999999999998</v>
      </c>
      <c r="G8" s="5" t="n">
        <f aca="false">F8/0.3048</f>
        <v>14.4356955380577</v>
      </c>
      <c r="H8" s="0" t="s">
        <v>242</v>
      </c>
    </row>
    <row r="9" customFormat="false" ht="15" hidden="false" customHeight="false" outlineLevel="0" collapsed="false">
      <c r="A9" s="1" t="s">
        <v>255</v>
      </c>
      <c r="B9" s="1" t="n">
        <v>1</v>
      </c>
      <c r="C9" s="1" t="s">
        <v>256</v>
      </c>
      <c r="D9" s="2" t="n">
        <v>546.386492</v>
      </c>
      <c r="E9" s="2" t="n">
        <v>550.786492</v>
      </c>
      <c r="F9" s="2" t="n">
        <f aca="false">E9-D9</f>
        <v>4.39999999999998</v>
      </c>
      <c r="G9" s="5" t="n">
        <f aca="false">F9/0.3048</f>
        <v>14.4356955380577</v>
      </c>
      <c r="H9" s="0" t="s">
        <v>242</v>
      </c>
    </row>
    <row r="10" customFormat="false" ht="15" hidden="false" customHeight="false" outlineLevel="0" collapsed="false">
      <c r="A10" s="1" t="s">
        <v>257</v>
      </c>
      <c r="B10" s="1" t="n">
        <v>1</v>
      </c>
      <c r="C10" s="1" t="s">
        <v>258</v>
      </c>
      <c r="D10" s="2" t="n">
        <v>550.786492</v>
      </c>
      <c r="E10" s="2" t="n">
        <v>555.186492</v>
      </c>
      <c r="F10" s="2" t="n">
        <f aca="false">E10-D10</f>
        <v>4.40000000000009</v>
      </c>
      <c r="G10" s="5" t="n">
        <f aca="false">F10/0.3048</f>
        <v>14.435695538058</v>
      </c>
      <c r="H10" s="0" t="s">
        <v>242</v>
      </c>
    </row>
    <row r="11" customFormat="false" ht="15" hidden="false" customHeight="false" outlineLevel="0" collapsed="false">
      <c r="A11" s="1" t="s">
        <v>259</v>
      </c>
      <c r="B11" s="1" t="n">
        <v>1</v>
      </c>
      <c r="C11" s="1" t="s">
        <v>260</v>
      </c>
      <c r="D11" s="2" t="n">
        <v>555.186492</v>
      </c>
      <c r="E11" s="2" t="n">
        <v>559.586492</v>
      </c>
      <c r="F11" s="2" t="n">
        <f aca="false">E11-D11</f>
        <v>4.39999999999998</v>
      </c>
      <c r="G11" s="5" t="n">
        <f aca="false">F11/0.3048</f>
        <v>14.4356955380577</v>
      </c>
      <c r="H11" s="0" t="s">
        <v>242</v>
      </c>
    </row>
    <row r="12" customFormat="false" ht="15" hidden="false" customHeight="false" outlineLevel="0" collapsed="false">
      <c r="A12" s="1" t="s">
        <v>261</v>
      </c>
      <c r="B12" s="1" t="n">
        <v>1</v>
      </c>
      <c r="C12" s="1" t="s">
        <v>262</v>
      </c>
      <c r="D12" s="2" t="n">
        <v>559.586492</v>
      </c>
      <c r="E12" s="2" t="n">
        <v>563.986492</v>
      </c>
      <c r="F12" s="2" t="n">
        <f aca="false">E12-D12</f>
        <v>4.39999999999998</v>
      </c>
      <c r="G12" s="5" t="n">
        <f aca="false">F12/0.3048</f>
        <v>14.4356955380577</v>
      </c>
      <c r="H12" s="0" t="s">
        <v>263</v>
      </c>
      <c r="I12" s="1" t="n">
        <v>26</v>
      </c>
    </row>
    <row r="13" customFormat="false" ht="15" hidden="false" customHeight="false" outlineLevel="0" collapsed="false">
      <c r="A13" s="1" t="s">
        <v>264</v>
      </c>
      <c r="B13" s="1" t="n">
        <v>1</v>
      </c>
      <c r="C13" s="1" t="s">
        <v>265</v>
      </c>
      <c r="D13" s="2" t="n">
        <v>563.986492</v>
      </c>
      <c r="E13" s="2" t="n">
        <v>568.386492</v>
      </c>
      <c r="F13" s="2" t="n">
        <f aca="false">E13-D13</f>
        <v>4.39999999999998</v>
      </c>
      <c r="G13" s="5" t="n">
        <f aca="false">F13/0.3048</f>
        <v>14.4356955380577</v>
      </c>
      <c r="H13" s="0" t="s">
        <v>263</v>
      </c>
      <c r="I13" s="1" t="n">
        <v>27</v>
      </c>
    </row>
    <row r="14" customFormat="false" ht="15" hidden="false" customHeight="false" outlineLevel="0" collapsed="false">
      <c r="A14" s="1" t="s">
        <v>266</v>
      </c>
      <c r="B14" s="1" t="n">
        <v>1</v>
      </c>
      <c r="C14" s="1" t="s">
        <v>267</v>
      </c>
      <c r="D14" s="2" t="n">
        <v>568.386492</v>
      </c>
      <c r="E14" s="2" t="n">
        <v>572.786492</v>
      </c>
      <c r="F14" s="2" t="n">
        <f aca="false">E14-D14</f>
        <v>4.39999999999998</v>
      </c>
      <c r="G14" s="5" t="n">
        <f aca="false">F14/0.3048</f>
        <v>14.4356955380577</v>
      </c>
      <c r="H14" s="0" t="s">
        <v>263</v>
      </c>
      <c r="I14" s="1" t="n">
        <v>28</v>
      </c>
    </row>
    <row r="15" customFormat="false" ht="15" hidden="false" customHeight="false" outlineLevel="0" collapsed="false">
      <c r="A15" s="1" t="s">
        <v>268</v>
      </c>
      <c r="B15" s="1" t="n">
        <v>1</v>
      </c>
      <c r="C15" s="1" t="s">
        <v>269</v>
      </c>
      <c r="D15" s="2" t="n">
        <v>572.786492</v>
      </c>
      <c r="E15" s="2" t="n">
        <v>577.186492</v>
      </c>
      <c r="F15" s="2" t="n">
        <f aca="false">E15-D15</f>
        <v>4.40000000000009</v>
      </c>
      <c r="G15" s="5" t="n">
        <f aca="false">F15/0.3048</f>
        <v>14.435695538058</v>
      </c>
      <c r="H15" s="0" t="s">
        <v>263</v>
      </c>
      <c r="I15" s="1" t="n">
        <v>29</v>
      </c>
    </row>
    <row r="16" customFormat="false" ht="15" hidden="false" customHeight="false" outlineLevel="0" collapsed="false">
      <c r="A16" s="1" t="s">
        <v>270</v>
      </c>
      <c r="B16" s="1" t="n">
        <v>1</v>
      </c>
      <c r="C16" s="1" t="s">
        <v>271</v>
      </c>
      <c r="D16" s="2" t="n">
        <v>577.186492</v>
      </c>
      <c r="E16" s="2" t="n">
        <v>581.586492</v>
      </c>
      <c r="F16" s="2" t="n">
        <f aca="false">E16-D16</f>
        <v>4.39999999999998</v>
      </c>
      <c r="G16" s="5" t="n">
        <f aca="false">F16/0.3048</f>
        <v>14.4356955380577</v>
      </c>
      <c r="H16" s="0" t="s">
        <v>263</v>
      </c>
      <c r="I16" s="1" t="n">
        <v>30</v>
      </c>
    </row>
    <row r="17" customFormat="false" ht="15" hidden="false" customHeight="false" outlineLevel="0" collapsed="false">
      <c r="A17" s="1" t="s">
        <v>272</v>
      </c>
      <c r="B17" s="1" t="n">
        <v>1</v>
      </c>
      <c r="C17" s="1" t="s">
        <v>273</v>
      </c>
      <c r="D17" s="2" t="n">
        <v>581.586492</v>
      </c>
      <c r="E17" s="2" t="n">
        <v>585.986492</v>
      </c>
      <c r="F17" s="2" t="n">
        <f aca="false">E17-D17</f>
        <v>4.39999999999998</v>
      </c>
      <c r="G17" s="5" t="n">
        <f aca="false">F17/0.3048</f>
        <v>14.4356955380577</v>
      </c>
      <c r="H17" s="0" t="s">
        <v>263</v>
      </c>
      <c r="I17" s="1" t="n">
        <v>31</v>
      </c>
    </row>
    <row r="18" customFormat="false" ht="15" hidden="false" customHeight="false" outlineLevel="0" collapsed="false">
      <c r="A18" s="1" t="s">
        <v>274</v>
      </c>
      <c r="B18" s="1" t="n">
        <v>1</v>
      </c>
      <c r="C18" s="1" t="s">
        <v>275</v>
      </c>
      <c r="D18" s="2" t="n">
        <v>585.986492</v>
      </c>
      <c r="E18" s="2" t="n">
        <v>590.386492</v>
      </c>
      <c r="F18" s="2" t="n">
        <f aca="false">E18-D18</f>
        <v>4.39999999999998</v>
      </c>
      <c r="G18" s="5" t="n">
        <f aca="false">F18/0.3048</f>
        <v>14.4356955380577</v>
      </c>
      <c r="H18" s="0" t="s">
        <v>263</v>
      </c>
      <c r="I18" s="1" t="n">
        <v>32</v>
      </c>
    </row>
    <row r="19" customFormat="false" ht="15" hidden="false" customHeight="false" outlineLevel="0" collapsed="false">
      <c r="A19" s="1" t="s">
        <v>276</v>
      </c>
      <c r="B19" s="1" t="n">
        <v>1</v>
      </c>
      <c r="C19" s="1" t="s">
        <v>277</v>
      </c>
      <c r="D19" s="2" t="n">
        <v>590.386492</v>
      </c>
      <c r="E19" s="2" t="n">
        <v>594.786492</v>
      </c>
      <c r="F19" s="2" t="n">
        <f aca="false">E19-D19</f>
        <v>4.39999999999998</v>
      </c>
      <c r="G19" s="5" t="n">
        <f aca="false">F19/0.3048</f>
        <v>14.4356955380577</v>
      </c>
      <c r="H19" s="0" t="s">
        <v>263</v>
      </c>
      <c r="I19" s="1" t="n">
        <v>33</v>
      </c>
    </row>
    <row r="20" customFormat="false" ht="15" hidden="false" customHeight="false" outlineLevel="0" collapsed="false">
      <c r="A20" s="1" t="s">
        <v>278</v>
      </c>
      <c r="B20" s="1" t="n">
        <v>1</v>
      </c>
      <c r="C20" s="1" t="s">
        <v>279</v>
      </c>
      <c r="D20" s="2" t="n">
        <v>594.786492</v>
      </c>
      <c r="E20" s="2" t="n">
        <v>599.186492</v>
      </c>
      <c r="F20" s="2" t="n">
        <f aca="false">E20-D20</f>
        <v>4.40000000000009</v>
      </c>
      <c r="G20" s="5" t="n">
        <f aca="false">F20/0.3048</f>
        <v>14.435695538058</v>
      </c>
      <c r="H20" s="0" t="s">
        <v>263</v>
      </c>
      <c r="I20" s="1" t="n">
        <v>34</v>
      </c>
    </row>
    <row r="21" customFormat="false" ht="15" hidden="false" customHeight="false" outlineLevel="0" collapsed="false">
      <c r="A21" s="1" t="s">
        <v>280</v>
      </c>
      <c r="B21" s="1" t="n">
        <v>1</v>
      </c>
      <c r="C21" s="1" t="s">
        <v>281</v>
      </c>
      <c r="D21" s="2" t="n">
        <v>599.186492</v>
      </c>
      <c r="E21" s="2" t="n">
        <v>603.586492</v>
      </c>
      <c r="F21" s="2" t="n">
        <f aca="false">E21-D21</f>
        <v>4.39999999999998</v>
      </c>
      <c r="G21" s="5" t="n">
        <f aca="false">F21/0.3048</f>
        <v>14.4356955380577</v>
      </c>
      <c r="H21" s="0" t="s">
        <v>282</v>
      </c>
    </row>
    <row r="22" customFormat="false" ht="15" hidden="false" customHeight="false" outlineLevel="0" collapsed="false">
      <c r="A22" s="1" t="s">
        <v>283</v>
      </c>
      <c r="B22" s="1" t="n">
        <v>1</v>
      </c>
      <c r="C22" s="1" t="s">
        <v>284</v>
      </c>
      <c r="D22" s="2" t="n">
        <v>603.586492</v>
      </c>
      <c r="E22" s="2" t="n">
        <v>607.986492</v>
      </c>
      <c r="F22" s="2" t="n">
        <f aca="false">E22-D22</f>
        <v>4.39999999999998</v>
      </c>
      <c r="G22" s="5" t="n">
        <f aca="false">F22/0.3048</f>
        <v>14.4356955380577</v>
      </c>
      <c r="H22" s="0" t="s">
        <v>263</v>
      </c>
      <c r="I22" s="1" t="n">
        <v>36</v>
      </c>
    </row>
    <row r="23" customFormat="false" ht="15" hidden="false" customHeight="false" outlineLevel="0" collapsed="false">
      <c r="A23" s="1" t="s">
        <v>285</v>
      </c>
      <c r="B23" s="1" t="n">
        <v>1</v>
      </c>
      <c r="C23" s="1" t="s">
        <v>286</v>
      </c>
      <c r="D23" s="2" t="n">
        <v>607.986492</v>
      </c>
      <c r="E23" s="2" t="n">
        <v>612.386492</v>
      </c>
      <c r="F23" s="2" t="n">
        <f aca="false">E23-D23</f>
        <v>4.39999999999998</v>
      </c>
      <c r="G23" s="5" t="n">
        <f aca="false">F23/0.3048</f>
        <v>14.4356955380577</v>
      </c>
      <c r="H23" s="0" t="s">
        <v>263</v>
      </c>
      <c r="I23" s="1" t="n">
        <v>37</v>
      </c>
    </row>
    <row r="24" customFormat="false" ht="15" hidden="false" customHeight="false" outlineLevel="0" collapsed="false">
      <c r="A24" s="1" t="s">
        <v>287</v>
      </c>
      <c r="B24" s="1" t="n">
        <v>1</v>
      </c>
      <c r="C24" s="1" t="s">
        <v>288</v>
      </c>
      <c r="D24" s="2" t="n">
        <v>612.386492</v>
      </c>
      <c r="E24" s="2" t="n">
        <v>616.786492</v>
      </c>
      <c r="F24" s="2" t="n">
        <f aca="false">E24-D24</f>
        <v>4.39999999999998</v>
      </c>
      <c r="G24" s="5" t="n">
        <f aca="false">F24/0.3048</f>
        <v>14.4356955380577</v>
      </c>
      <c r="H24" s="0" t="s">
        <v>263</v>
      </c>
      <c r="I24" s="1" t="n">
        <v>38</v>
      </c>
    </row>
    <row r="25" customFormat="false" ht="15" hidden="false" customHeight="false" outlineLevel="0" collapsed="false">
      <c r="A25" s="1" t="s">
        <v>289</v>
      </c>
      <c r="B25" s="1" t="n">
        <v>1</v>
      </c>
      <c r="C25" s="1" t="s">
        <v>290</v>
      </c>
      <c r="D25" s="2" t="n">
        <v>616.786492</v>
      </c>
      <c r="E25" s="2" t="n">
        <v>621.186492</v>
      </c>
      <c r="F25" s="2" t="n">
        <f aca="false">E25-D25</f>
        <v>4.40000000000009</v>
      </c>
      <c r="G25" s="5" t="n">
        <f aca="false">F25/0.3048</f>
        <v>14.435695538058</v>
      </c>
      <c r="H25" s="0" t="s">
        <v>263</v>
      </c>
      <c r="I25" s="1" t="n">
        <v>39</v>
      </c>
    </row>
    <row r="26" customFormat="false" ht="15" hidden="false" customHeight="false" outlineLevel="0" collapsed="false">
      <c r="A26" s="1" t="s">
        <v>291</v>
      </c>
      <c r="B26" s="1" t="n">
        <v>1</v>
      </c>
      <c r="C26" s="1" t="s">
        <v>292</v>
      </c>
      <c r="D26" s="2" t="n">
        <v>621.186492</v>
      </c>
      <c r="E26" s="2" t="n">
        <v>625.586492</v>
      </c>
      <c r="F26" s="2" t="n">
        <f aca="false">E26-D26</f>
        <v>4.39999999999998</v>
      </c>
      <c r="G26" s="5" t="n">
        <f aca="false">F26/0.3048</f>
        <v>14.4356955380577</v>
      </c>
      <c r="H26" s="0" t="s">
        <v>263</v>
      </c>
      <c r="I26" s="1" t="n">
        <v>40</v>
      </c>
    </row>
    <row r="27" customFormat="false" ht="15" hidden="false" customHeight="false" outlineLevel="0" collapsed="false">
      <c r="A27" s="1" t="s">
        <v>293</v>
      </c>
      <c r="B27" s="1" t="n">
        <v>1</v>
      </c>
      <c r="C27" s="1" t="s">
        <v>294</v>
      </c>
      <c r="D27" s="2" t="n">
        <v>625.586492</v>
      </c>
      <c r="E27" s="2" t="n">
        <v>629.986492</v>
      </c>
      <c r="F27" s="2" t="n">
        <f aca="false">E27-D27</f>
        <v>4.39999999999998</v>
      </c>
      <c r="G27" s="5" t="n">
        <f aca="false">F27/0.3048</f>
        <v>14.4356955380577</v>
      </c>
      <c r="H27" s="0" t="s">
        <v>263</v>
      </c>
      <c r="I27" s="1" t="n">
        <v>41</v>
      </c>
    </row>
    <row r="28" customFormat="false" ht="15" hidden="false" customHeight="false" outlineLevel="0" collapsed="false">
      <c r="A28" s="1" t="s">
        <v>295</v>
      </c>
      <c r="B28" s="1" t="n">
        <v>1</v>
      </c>
      <c r="C28" s="1" t="s">
        <v>296</v>
      </c>
      <c r="D28" s="2" t="n">
        <v>629.986492</v>
      </c>
      <c r="E28" s="2" t="n">
        <v>634.386492</v>
      </c>
      <c r="F28" s="2" t="n">
        <f aca="false">E28-D28</f>
        <v>4.39999999999998</v>
      </c>
      <c r="G28" s="5" t="n">
        <f aca="false">F28/0.3048</f>
        <v>14.4356955380577</v>
      </c>
      <c r="H28" s="0" t="s">
        <v>263</v>
      </c>
      <c r="I28" s="1" t="n">
        <v>42</v>
      </c>
    </row>
    <row r="29" customFormat="false" ht="15" hidden="false" customHeight="false" outlineLevel="0" collapsed="false">
      <c r="A29" s="1" t="s">
        <v>297</v>
      </c>
      <c r="B29" s="1" t="n">
        <v>1</v>
      </c>
      <c r="C29" s="1" t="s">
        <v>298</v>
      </c>
      <c r="D29" s="2" t="n">
        <v>634.386492</v>
      </c>
      <c r="E29" s="2" t="n">
        <v>638.786492</v>
      </c>
      <c r="F29" s="2" t="n">
        <f aca="false">E29-D29</f>
        <v>4.39999999999998</v>
      </c>
      <c r="G29" s="5" t="n">
        <f aca="false">F29/0.3048</f>
        <v>14.4356955380577</v>
      </c>
      <c r="H29" s="0" t="s">
        <v>263</v>
      </c>
      <c r="I29" s="1" t="n">
        <v>43</v>
      </c>
    </row>
    <row r="30" customFormat="false" ht="15" hidden="false" customHeight="false" outlineLevel="0" collapsed="false">
      <c r="A30" s="1" t="s">
        <v>299</v>
      </c>
      <c r="B30" s="1" t="n">
        <v>1</v>
      </c>
      <c r="C30" s="1" t="s">
        <v>300</v>
      </c>
      <c r="D30" s="2" t="n">
        <v>638.786492</v>
      </c>
      <c r="E30" s="2" t="n">
        <v>643.186492</v>
      </c>
      <c r="F30" s="2" t="n">
        <f aca="false">E30-D30</f>
        <v>4.40000000000009</v>
      </c>
      <c r="G30" s="5" t="n">
        <f aca="false">F30/0.3048</f>
        <v>14.435695538058</v>
      </c>
      <c r="H30" s="0" t="s">
        <v>263</v>
      </c>
      <c r="I30" s="1" t="n">
        <v>44</v>
      </c>
    </row>
    <row r="31" customFormat="false" ht="15" hidden="false" customHeight="false" outlineLevel="0" collapsed="false">
      <c r="A31" s="1" t="s">
        <v>301</v>
      </c>
      <c r="B31" s="1" t="n">
        <v>1</v>
      </c>
      <c r="C31" s="1" t="s">
        <v>302</v>
      </c>
      <c r="D31" s="2" t="n">
        <v>643.186492</v>
      </c>
      <c r="E31" s="2" t="n">
        <v>647.586492</v>
      </c>
      <c r="F31" s="2" t="n">
        <f aca="false">E31-D31</f>
        <v>4.39999999999998</v>
      </c>
      <c r="G31" s="5" t="n">
        <f aca="false">F31/0.3048</f>
        <v>14.4356955380577</v>
      </c>
      <c r="H31" s="0" t="s">
        <v>263</v>
      </c>
      <c r="I31" s="1" t="n">
        <v>45</v>
      </c>
    </row>
    <row r="32" customFormat="false" ht="15" hidden="false" customHeight="false" outlineLevel="0" collapsed="false">
      <c r="A32" s="1" t="s">
        <v>303</v>
      </c>
      <c r="B32" s="1" t="n">
        <v>1</v>
      </c>
      <c r="C32" s="1" t="s">
        <v>304</v>
      </c>
      <c r="D32" s="2" t="n">
        <v>647.586492</v>
      </c>
      <c r="E32" s="2" t="n">
        <v>651.986492</v>
      </c>
      <c r="F32" s="2" t="n">
        <f aca="false">E32-D32</f>
        <v>4.39999999999998</v>
      </c>
      <c r="G32" s="5" t="n">
        <f aca="false">F32/0.3048</f>
        <v>14.4356955380577</v>
      </c>
      <c r="H32" s="0" t="s">
        <v>263</v>
      </c>
      <c r="I32" s="1" t="n">
        <v>46</v>
      </c>
    </row>
    <row r="33" customFormat="false" ht="15" hidden="false" customHeight="false" outlineLevel="0" collapsed="false">
      <c r="A33" s="1" t="s">
        <v>305</v>
      </c>
      <c r="B33" s="1" t="n">
        <v>1</v>
      </c>
      <c r="C33" s="1" t="s">
        <v>306</v>
      </c>
      <c r="D33" s="2" t="n">
        <v>651.986492</v>
      </c>
      <c r="E33" s="2" t="n">
        <v>656.386492</v>
      </c>
      <c r="F33" s="2" t="n">
        <f aca="false">E33-D33</f>
        <v>4.39999999999998</v>
      </c>
      <c r="G33" s="5" t="n">
        <f aca="false">F33/0.3048</f>
        <v>14.4356955380577</v>
      </c>
      <c r="H33" s="0" t="s">
        <v>263</v>
      </c>
      <c r="I33" s="1" t="n">
        <v>47</v>
      </c>
    </row>
    <row r="34" customFormat="false" ht="15" hidden="false" customHeight="false" outlineLevel="0" collapsed="false">
      <c r="A34" s="1" t="s">
        <v>307</v>
      </c>
      <c r="B34" s="1" t="n">
        <v>1</v>
      </c>
      <c r="C34" s="1" t="s">
        <v>308</v>
      </c>
      <c r="D34" s="2" t="n">
        <v>656.386492</v>
      </c>
      <c r="E34" s="2" t="n">
        <v>660.786492</v>
      </c>
      <c r="F34" s="2" t="n">
        <f aca="false">E34-D34</f>
        <v>4.39999999999998</v>
      </c>
      <c r="G34" s="5" t="n">
        <f aca="false">F34/0.3048</f>
        <v>14.4356955380577</v>
      </c>
      <c r="H34" s="0" t="s">
        <v>309</v>
      </c>
    </row>
    <row r="35" customFormat="false" ht="15" hidden="false" customHeight="false" outlineLevel="0" collapsed="false">
      <c r="A35" s="1" t="s">
        <v>310</v>
      </c>
      <c r="B35" s="1" t="n">
        <v>1</v>
      </c>
      <c r="C35" s="1" t="s">
        <v>311</v>
      </c>
      <c r="D35" s="2" t="n">
        <v>660.786492</v>
      </c>
      <c r="E35" s="2" t="n">
        <v>665.186492</v>
      </c>
      <c r="F35" s="2" t="n">
        <f aca="false">E35-D35</f>
        <v>4.40000000000009</v>
      </c>
      <c r="G35" s="5" t="n">
        <f aca="false">F35/0.3048</f>
        <v>14.435695538058</v>
      </c>
      <c r="H35" s="0" t="s">
        <v>309</v>
      </c>
    </row>
    <row r="36" customFormat="false" ht="15" hidden="false" customHeight="false" outlineLevel="0" collapsed="false">
      <c r="A36" s="1" t="s">
        <v>312</v>
      </c>
      <c r="B36" s="1" t="n">
        <v>1</v>
      </c>
      <c r="C36" s="1" t="s">
        <v>313</v>
      </c>
      <c r="D36" s="2" t="n">
        <v>665.186492</v>
      </c>
      <c r="E36" s="2" t="n">
        <v>669.586492</v>
      </c>
      <c r="F36" s="2" t="n">
        <f aca="false">E36-D36</f>
        <v>4.39999999999998</v>
      </c>
      <c r="G36" s="5" t="n">
        <f aca="false">F36/0.3048</f>
        <v>14.4356955380577</v>
      </c>
      <c r="H36" s="0" t="s">
        <v>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5" min="3" style="0" width="10.59"/>
    <col collapsed="false" customWidth="true" hidden="false" outlineLevel="0" max="8" min="8" style="0" width="9.71"/>
  </cols>
  <sheetData>
    <row r="1" customFormat="false" ht="15.75" hidden="false" customHeight="false" outlineLevel="0" collapsed="false">
      <c r="A1" s="7" t="s">
        <v>239</v>
      </c>
      <c r="B1" s="7" t="s">
        <v>2</v>
      </c>
      <c r="C1" s="7" t="s">
        <v>4</v>
      </c>
      <c r="D1" s="9" t="s">
        <v>5</v>
      </c>
      <c r="E1" s="9" t="s">
        <v>6</v>
      </c>
      <c r="F1" s="9" t="s">
        <v>7</v>
      </c>
      <c r="G1" s="10" t="s">
        <v>8</v>
      </c>
    </row>
    <row r="2" customFormat="false" ht="15" hidden="false" customHeight="false" outlineLevel="0" collapsed="false">
      <c r="A2" s="1" t="s">
        <v>314</v>
      </c>
      <c r="B2" s="1" t="n">
        <v>10</v>
      </c>
      <c r="C2" s="1" t="s">
        <v>315</v>
      </c>
      <c r="D2" s="2" t="n">
        <v>514.740001</v>
      </c>
      <c r="E2" s="2" t="n">
        <v>519.107651</v>
      </c>
      <c r="F2" s="2" t="n">
        <f aca="false">E2-D2</f>
        <v>4.36765000000003</v>
      </c>
      <c r="G2" s="5" t="n">
        <f aca="false">F2/0.3048</f>
        <v>14.3295603674542</v>
      </c>
      <c r="H2" s="0" t="s">
        <v>263</v>
      </c>
      <c r="I2" s="1" t="n">
        <v>13</v>
      </c>
    </row>
    <row r="3" customFormat="false" ht="15" hidden="false" customHeight="false" outlineLevel="0" collapsed="false">
      <c r="A3" s="1" t="s">
        <v>316</v>
      </c>
      <c r="B3" s="1" t="n">
        <v>10</v>
      </c>
      <c r="C3" s="1" t="s">
        <v>317</v>
      </c>
      <c r="D3" s="2" t="n">
        <v>519.107651</v>
      </c>
      <c r="E3" s="2" t="n">
        <v>523.120318</v>
      </c>
      <c r="F3" s="2" t="n">
        <f aca="false">E3-D3</f>
        <v>4.01266699999997</v>
      </c>
      <c r="G3" s="5" t="n">
        <f aca="false">F3/0.3048</f>
        <v>13.1649179790025</v>
      </c>
      <c r="H3" s="0" t="s">
        <v>263</v>
      </c>
      <c r="I3" s="1" t="n">
        <v>14</v>
      </c>
    </row>
    <row r="4" customFormat="false" ht="15" hidden="false" customHeight="false" outlineLevel="0" collapsed="false">
      <c r="A4" s="1" t="s">
        <v>318</v>
      </c>
      <c r="B4" s="1" t="n">
        <v>10</v>
      </c>
      <c r="C4" s="1" t="s">
        <v>319</v>
      </c>
      <c r="D4" s="2" t="n">
        <v>523.120318</v>
      </c>
      <c r="E4" s="2" t="n">
        <v>527.132985</v>
      </c>
      <c r="F4" s="2" t="n">
        <f aca="false">E4-D4</f>
        <v>4.01266699999997</v>
      </c>
      <c r="G4" s="5" t="n">
        <f aca="false">F4/0.3048</f>
        <v>13.1649179790025</v>
      </c>
      <c r="H4" s="0" t="s">
        <v>263</v>
      </c>
      <c r="I4" s="1" t="n">
        <v>15</v>
      </c>
    </row>
    <row r="5" customFormat="false" ht="15" hidden="false" customHeight="false" outlineLevel="0" collapsed="false">
      <c r="A5" s="1" t="s">
        <v>320</v>
      </c>
      <c r="B5" s="1" t="n">
        <v>10</v>
      </c>
      <c r="C5" s="1" t="s">
        <v>321</v>
      </c>
      <c r="D5" s="2" t="n">
        <v>527.132985</v>
      </c>
      <c r="E5" s="2" t="n">
        <v>531.145651</v>
      </c>
      <c r="F5" s="2" t="n">
        <f aca="false">E5-D5</f>
        <v>4.01266600000008</v>
      </c>
      <c r="G5" s="5" t="n">
        <f aca="false">F5/0.3048</f>
        <v>13.164914698163</v>
      </c>
      <c r="H5" s="0" t="s">
        <v>263</v>
      </c>
      <c r="I5" s="1" t="n">
        <v>16</v>
      </c>
    </row>
    <row r="6" customFormat="false" ht="15" hidden="false" customHeight="false" outlineLevel="0" collapsed="false">
      <c r="A6" s="1" t="s">
        <v>322</v>
      </c>
      <c r="B6" s="1" t="n">
        <v>10</v>
      </c>
      <c r="C6" s="1" t="s">
        <v>323</v>
      </c>
      <c r="D6" s="2" t="n">
        <v>531.145651</v>
      </c>
      <c r="E6" s="2" t="n">
        <v>535.158318</v>
      </c>
      <c r="F6" s="2" t="n">
        <f aca="false">E6-D6</f>
        <v>4.01266699999997</v>
      </c>
      <c r="G6" s="5" t="n">
        <f aca="false">F6/0.3048</f>
        <v>13.1649179790025</v>
      </c>
      <c r="H6" s="0" t="s">
        <v>263</v>
      </c>
      <c r="I6" s="1" t="n">
        <v>17</v>
      </c>
    </row>
    <row r="7" customFormat="false" ht="15" hidden="false" customHeight="false" outlineLevel="0" collapsed="false">
      <c r="A7" s="1" t="s">
        <v>324</v>
      </c>
      <c r="B7" s="1" t="n">
        <v>10</v>
      </c>
      <c r="C7" s="1" t="s">
        <v>325</v>
      </c>
      <c r="D7" s="2" t="n">
        <v>535.158318</v>
      </c>
      <c r="E7" s="2" t="n">
        <v>539.170985</v>
      </c>
      <c r="F7" s="2" t="n">
        <f aca="false">E7-D7</f>
        <v>4.01266699999997</v>
      </c>
      <c r="G7" s="5" t="n">
        <f aca="false">F7/0.3048</f>
        <v>13.1649179790025</v>
      </c>
      <c r="H7" s="0" t="s">
        <v>263</v>
      </c>
      <c r="I7" s="1" t="n">
        <v>18</v>
      </c>
    </row>
    <row r="8" customFormat="false" ht="15" hidden="false" customHeight="false" outlineLevel="0" collapsed="false">
      <c r="A8" s="1" t="s">
        <v>326</v>
      </c>
      <c r="B8" s="1" t="n">
        <v>10</v>
      </c>
      <c r="C8" s="1" t="s">
        <v>327</v>
      </c>
      <c r="D8" s="2" t="n">
        <v>539.170985</v>
      </c>
      <c r="E8" s="2" t="n">
        <v>543.183651</v>
      </c>
      <c r="F8" s="2" t="n">
        <f aca="false">E8-D8</f>
        <v>4.01266600000008</v>
      </c>
      <c r="G8" s="5" t="n">
        <f aca="false">F8/0.3048</f>
        <v>13.164914698163</v>
      </c>
      <c r="H8" s="0" t="s">
        <v>263</v>
      </c>
      <c r="I8" s="1" t="n">
        <v>19</v>
      </c>
    </row>
    <row r="9" customFormat="false" ht="15" hidden="false" customHeight="false" outlineLevel="0" collapsed="false">
      <c r="A9" s="1" t="s">
        <v>328</v>
      </c>
      <c r="B9" s="1" t="n">
        <v>10</v>
      </c>
      <c r="C9" s="1" t="s">
        <v>329</v>
      </c>
      <c r="D9" s="2" t="n">
        <v>543.183651</v>
      </c>
      <c r="E9" s="2" t="n">
        <v>547.196318</v>
      </c>
      <c r="F9" s="2" t="n">
        <f aca="false">E9-D9</f>
        <v>4.01266699999997</v>
      </c>
      <c r="G9" s="5" t="n">
        <f aca="false">F9/0.3048</f>
        <v>13.1649179790025</v>
      </c>
      <c r="H9" s="0" t="s">
        <v>263</v>
      </c>
      <c r="I9" s="1" t="n">
        <v>20</v>
      </c>
    </row>
    <row r="10" customFormat="false" ht="15" hidden="false" customHeight="false" outlineLevel="0" collapsed="false">
      <c r="A10" s="1" t="s">
        <v>330</v>
      </c>
      <c r="B10" s="1" t="n">
        <v>10</v>
      </c>
      <c r="C10" s="1" t="s">
        <v>331</v>
      </c>
      <c r="D10" s="2" t="n">
        <v>547.196318</v>
      </c>
      <c r="E10" s="2" t="n">
        <v>551.208985</v>
      </c>
      <c r="F10" s="2" t="n">
        <f aca="false">E10-D10</f>
        <v>4.01266699999997</v>
      </c>
      <c r="G10" s="5" t="n">
        <f aca="false">F10/0.3048</f>
        <v>13.1649179790025</v>
      </c>
      <c r="H10" s="0" t="s">
        <v>332</v>
      </c>
      <c r="I10" s="1"/>
    </row>
    <row r="11" customFormat="false" ht="15" hidden="false" customHeight="false" outlineLevel="0" collapsed="false">
      <c r="A11" s="1" t="s">
        <v>333</v>
      </c>
      <c r="B11" s="1" t="n">
        <v>10</v>
      </c>
      <c r="C11" s="1" t="s">
        <v>334</v>
      </c>
      <c r="D11" s="2" t="n">
        <v>551.208985</v>
      </c>
      <c r="E11" s="2" t="n">
        <v>555.221651</v>
      </c>
      <c r="F11" s="2" t="n">
        <f aca="false">E11-D11</f>
        <v>4.01266599999997</v>
      </c>
      <c r="G11" s="5" t="n">
        <f aca="false">F11/0.3048</f>
        <v>13.1649146981626</v>
      </c>
      <c r="H11" s="0" t="s">
        <v>263</v>
      </c>
      <c r="I11" s="1" t="n">
        <v>22</v>
      </c>
    </row>
    <row r="12" customFormat="false" ht="15" hidden="false" customHeight="false" outlineLevel="0" collapsed="false">
      <c r="A12" s="1" t="s">
        <v>335</v>
      </c>
      <c r="B12" s="1" t="n">
        <v>10</v>
      </c>
      <c r="C12" s="1" t="s">
        <v>336</v>
      </c>
      <c r="D12" s="2" t="n">
        <v>555.221651</v>
      </c>
      <c r="E12" s="2" t="n">
        <v>559.234318</v>
      </c>
      <c r="F12" s="2" t="n">
        <f aca="false">E12-D12</f>
        <v>4.01266700000008</v>
      </c>
      <c r="G12" s="5" t="n">
        <f aca="false">F12/0.3048</f>
        <v>13.1649179790029</v>
      </c>
      <c r="H12" s="0" t="s">
        <v>263</v>
      </c>
      <c r="I12" s="1" t="n">
        <v>23</v>
      </c>
    </row>
    <row r="13" customFormat="false" ht="15" hidden="false" customHeight="false" outlineLevel="0" collapsed="false">
      <c r="A13" s="1" t="s">
        <v>337</v>
      </c>
      <c r="B13" s="1" t="n">
        <v>10</v>
      </c>
      <c r="C13" s="1" t="s">
        <v>338</v>
      </c>
      <c r="D13" s="2" t="n">
        <v>559.234318</v>
      </c>
      <c r="E13" s="2" t="n">
        <v>563.246985</v>
      </c>
      <c r="F13" s="2" t="n">
        <f aca="false">E13-D13</f>
        <v>4.01266699999997</v>
      </c>
      <c r="G13" s="5" t="n">
        <f aca="false">F13/0.3048</f>
        <v>13.1649179790025</v>
      </c>
      <c r="H13" s="0" t="s">
        <v>263</v>
      </c>
      <c r="I13" s="1" t="n">
        <v>24</v>
      </c>
    </row>
    <row r="14" customFormat="false" ht="15" hidden="false" customHeight="false" outlineLevel="0" collapsed="false">
      <c r="A14" s="1" t="s">
        <v>339</v>
      </c>
      <c r="B14" s="1" t="n">
        <v>10</v>
      </c>
      <c r="C14" s="1" t="s">
        <v>340</v>
      </c>
      <c r="D14" s="2" t="n">
        <v>563.246985</v>
      </c>
      <c r="E14" s="2" t="n">
        <v>567.259651</v>
      </c>
      <c r="F14" s="2" t="n">
        <f aca="false">E14-D14</f>
        <v>4.01266599999997</v>
      </c>
      <c r="G14" s="5" t="n">
        <f aca="false">F14/0.3048</f>
        <v>13.1649146981626</v>
      </c>
      <c r="H14" s="0" t="s">
        <v>263</v>
      </c>
      <c r="I14" s="1" t="n">
        <v>25</v>
      </c>
    </row>
    <row r="15" customFormat="false" ht="15" hidden="false" customHeight="false" outlineLevel="0" collapsed="false">
      <c r="A15" s="1" t="s">
        <v>341</v>
      </c>
      <c r="B15" s="1" t="n">
        <v>10</v>
      </c>
      <c r="C15" s="1" t="s">
        <v>342</v>
      </c>
      <c r="D15" s="2" t="n">
        <v>567.259651</v>
      </c>
      <c r="E15" s="2" t="n">
        <v>571.272318</v>
      </c>
      <c r="F15" s="2" t="n">
        <f aca="false">E15-D15</f>
        <v>4.01266700000008</v>
      </c>
      <c r="G15" s="5" t="n">
        <f aca="false">F15/0.3048</f>
        <v>13.1649179790029</v>
      </c>
      <c r="H15" s="0" t="s">
        <v>263</v>
      </c>
      <c r="I15" s="1" t="n">
        <v>26</v>
      </c>
    </row>
    <row r="16" customFormat="false" ht="15" hidden="false" customHeight="false" outlineLevel="0" collapsed="false">
      <c r="A16" s="1" t="s">
        <v>343</v>
      </c>
      <c r="B16" s="1" t="n">
        <v>10</v>
      </c>
      <c r="C16" s="1" t="s">
        <v>344</v>
      </c>
      <c r="D16" s="2" t="n">
        <v>571.272318</v>
      </c>
      <c r="E16" s="2" t="n">
        <v>575.284985</v>
      </c>
      <c r="F16" s="2" t="n">
        <f aca="false">E16-D16</f>
        <v>4.01266699999997</v>
      </c>
      <c r="G16" s="5" t="n">
        <f aca="false">F16/0.3048</f>
        <v>13.1649179790025</v>
      </c>
      <c r="H16" s="0" t="s">
        <v>263</v>
      </c>
      <c r="I16" s="1" t="n">
        <v>27</v>
      </c>
    </row>
    <row r="17" customFormat="false" ht="15" hidden="false" customHeight="false" outlineLevel="0" collapsed="false">
      <c r="A17" s="1" t="s">
        <v>345</v>
      </c>
      <c r="B17" s="1" t="n">
        <v>10</v>
      </c>
      <c r="C17" s="1" t="s">
        <v>346</v>
      </c>
      <c r="D17" s="2" t="n">
        <v>575.284985</v>
      </c>
      <c r="E17" s="2" t="n">
        <v>579.297651</v>
      </c>
      <c r="F17" s="2" t="n">
        <f aca="false">E17-D17</f>
        <v>4.01266599999997</v>
      </c>
      <c r="G17" s="5" t="n">
        <f aca="false">F17/0.3048</f>
        <v>13.1649146981626</v>
      </c>
      <c r="H17" s="0" t="s">
        <v>347</v>
      </c>
      <c r="I17" s="1"/>
    </row>
    <row r="18" customFormat="false" ht="15" hidden="false" customHeight="false" outlineLevel="0" collapsed="false">
      <c r="A18" s="1" t="s">
        <v>348</v>
      </c>
      <c r="B18" s="1" t="n">
        <v>10</v>
      </c>
      <c r="C18" s="1" t="s">
        <v>349</v>
      </c>
      <c r="D18" s="2" t="n">
        <v>579.297651</v>
      </c>
      <c r="E18" s="2" t="n">
        <v>583.310318</v>
      </c>
      <c r="F18" s="2" t="n">
        <f aca="false">E18-D18</f>
        <v>4.01266700000008</v>
      </c>
      <c r="G18" s="5" t="n">
        <f aca="false">F18/0.3048</f>
        <v>13.1649179790029</v>
      </c>
      <c r="H18" s="0" t="s">
        <v>263</v>
      </c>
      <c r="I18" s="1" t="n">
        <v>29</v>
      </c>
    </row>
    <row r="19" customFormat="false" ht="15" hidden="false" customHeight="false" outlineLevel="0" collapsed="false">
      <c r="A19" s="1" t="s">
        <v>350</v>
      </c>
      <c r="B19" s="1" t="n">
        <v>10</v>
      </c>
      <c r="C19" s="1" t="s">
        <v>351</v>
      </c>
      <c r="D19" s="2" t="n">
        <v>583.310318</v>
      </c>
      <c r="E19" s="2" t="n">
        <v>587.322985</v>
      </c>
      <c r="F19" s="2" t="n">
        <f aca="false">E19-D19</f>
        <v>4.01266699999997</v>
      </c>
      <c r="G19" s="5" t="n">
        <f aca="false">F19/0.3048</f>
        <v>13.1649179790025</v>
      </c>
      <c r="H19" s="0" t="s">
        <v>263</v>
      </c>
      <c r="I19" s="1" t="n">
        <v>30</v>
      </c>
    </row>
    <row r="20" customFormat="false" ht="15" hidden="false" customHeight="false" outlineLevel="0" collapsed="false">
      <c r="A20" s="1" t="s">
        <v>352</v>
      </c>
      <c r="B20" s="1" t="n">
        <v>10</v>
      </c>
      <c r="C20" s="1" t="s">
        <v>353</v>
      </c>
      <c r="D20" s="2" t="n">
        <v>587.322985</v>
      </c>
      <c r="E20" s="2" t="n">
        <v>591.335651</v>
      </c>
      <c r="F20" s="2" t="n">
        <f aca="false">E20-D20</f>
        <v>4.01266599999997</v>
      </c>
      <c r="G20" s="5" t="n">
        <f aca="false">F20/0.3048</f>
        <v>13.1649146981626</v>
      </c>
      <c r="H20" s="0" t="s">
        <v>263</v>
      </c>
      <c r="I20" s="1" t="n">
        <v>31</v>
      </c>
    </row>
    <row r="21" customFormat="false" ht="15" hidden="false" customHeight="false" outlineLevel="0" collapsed="false">
      <c r="A21" s="1" t="s">
        <v>354</v>
      </c>
      <c r="B21" s="1" t="n">
        <v>10</v>
      </c>
      <c r="C21" s="1" t="s">
        <v>355</v>
      </c>
      <c r="D21" s="2" t="n">
        <v>591.335651</v>
      </c>
      <c r="E21" s="2" t="n">
        <v>595.348318</v>
      </c>
      <c r="F21" s="2" t="n">
        <f aca="false">E21-D21</f>
        <v>4.01266699999997</v>
      </c>
      <c r="G21" s="5" t="n">
        <f aca="false">F21/0.3048</f>
        <v>13.1649179790025</v>
      </c>
      <c r="H21" s="0" t="s">
        <v>263</v>
      </c>
      <c r="I21" s="1" t="n">
        <v>32</v>
      </c>
    </row>
    <row r="22" customFormat="false" ht="15" hidden="false" customHeight="false" outlineLevel="0" collapsed="false">
      <c r="A22" s="1" t="s">
        <v>356</v>
      </c>
      <c r="B22" s="1" t="n">
        <v>10</v>
      </c>
      <c r="C22" s="1" t="s">
        <v>357</v>
      </c>
      <c r="D22" s="2" t="n">
        <v>595.348318</v>
      </c>
      <c r="E22" s="2" t="n">
        <v>599.360985</v>
      </c>
      <c r="F22" s="2" t="n">
        <f aca="false">E22-D22</f>
        <v>4.01266700000008</v>
      </c>
      <c r="G22" s="5" t="n">
        <f aca="false">F22/0.3048</f>
        <v>13.1649179790029</v>
      </c>
      <c r="H22" s="0" t="s">
        <v>263</v>
      </c>
      <c r="I22" s="1" t="n">
        <v>33</v>
      </c>
    </row>
    <row r="23" customFormat="false" ht="15" hidden="false" customHeight="false" outlineLevel="0" collapsed="false">
      <c r="A23" s="1" t="s">
        <v>358</v>
      </c>
      <c r="B23" s="1" t="n">
        <v>10</v>
      </c>
      <c r="C23" s="1" t="s">
        <v>359</v>
      </c>
      <c r="D23" s="2" t="n">
        <v>599.360985</v>
      </c>
      <c r="E23" s="2" t="n">
        <v>603.373651</v>
      </c>
      <c r="F23" s="2" t="n">
        <f aca="false">E23-D23</f>
        <v>4.01266599999997</v>
      </c>
      <c r="G23" s="5" t="n">
        <f aca="false">F23/0.3048</f>
        <v>13.1649146981626</v>
      </c>
      <c r="H23" s="0" t="s">
        <v>263</v>
      </c>
      <c r="I23" s="1" t="n">
        <v>34</v>
      </c>
    </row>
    <row r="24" customFormat="false" ht="15" hidden="false" customHeight="false" outlineLevel="0" collapsed="false">
      <c r="A24" s="1" t="s">
        <v>360</v>
      </c>
      <c r="B24" s="1" t="n">
        <v>10</v>
      </c>
      <c r="C24" s="1" t="s">
        <v>361</v>
      </c>
      <c r="D24" s="2" t="n">
        <v>603.373651</v>
      </c>
      <c r="E24" s="2" t="n">
        <v>607.386318</v>
      </c>
      <c r="F24" s="2" t="n">
        <f aca="false">E24-D24</f>
        <v>4.01266699999997</v>
      </c>
      <c r="G24" s="5" t="n">
        <f aca="false">F24/0.3048</f>
        <v>13.1649179790025</v>
      </c>
      <c r="H24" s="0" t="s">
        <v>263</v>
      </c>
      <c r="I24" s="1" t="n">
        <v>35</v>
      </c>
    </row>
    <row r="25" customFormat="false" ht="15" hidden="false" customHeight="false" outlineLevel="0" collapsed="false">
      <c r="A25" s="1" t="s">
        <v>362</v>
      </c>
      <c r="B25" s="1" t="n">
        <v>10</v>
      </c>
      <c r="C25" s="1" t="s">
        <v>363</v>
      </c>
      <c r="D25" s="2" t="n">
        <v>607.386318</v>
      </c>
      <c r="E25" s="2" t="n">
        <v>611.398985</v>
      </c>
      <c r="F25" s="2" t="n">
        <f aca="false">E25-D25</f>
        <v>4.01266700000008</v>
      </c>
      <c r="G25" s="5" t="n">
        <f aca="false">F25/0.3048</f>
        <v>13.1649179790029</v>
      </c>
      <c r="H25" s="0" t="s">
        <v>263</v>
      </c>
      <c r="I25" s="1" t="n">
        <v>36</v>
      </c>
    </row>
    <row r="26" customFormat="false" ht="15" hidden="false" customHeight="false" outlineLevel="0" collapsed="false">
      <c r="A26" s="1" t="s">
        <v>364</v>
      </c>
      <c r="B26" s="1" t="n">
        <v>10</v>
      </c>
      <c r="C26" s="1" t="s">
        <v>365</v>
      </c>
      <c r="D26" s="2" t="n">
        <v>611.398985</v>
      </c>
      <c r="E26" s="2" t="n">
        <v>615.411651</v>
      </c>
      <c r="F26" s="2" t="n">
        <f aca="false">E26-D26</f>
        <v>4.01266599999997</v>
      </c>
      <c r="G26" s="5" t="n">
        <f aca="false">F26/0.3048</f>
        <v>13.1649146981626</v>
      </c>
      <c r="H26" s="0" t="s">
        <v>263</v>
      </c>
      <c r="I26" s="1" t="n">
        <v>37</v>
      </c>
    </row>
    <row r="27" customFormat="false" ht="15" hidden="false" customHeight="false" outlineLevel="0" collapsed="false">
      <c r="A27" s="1" t="s">
        <v>366</v>
      </c>
      <c r="B27" s="1" t="n">
        <v>10</v>
      </c>
      <c r="C27" s="1" t="s">
        <v>367</v>
      </c>
      <c r="D27" s="2" t="n">
        <v>615.411651</v>
      </c>
      <c r="E27" s="2" t="n">
        <v>619.424318</v>
      </c>
      <c r="F27" s="2" t="n">
        <f aca="false">E27-D27</f>
        <v>4.01266699999997</v>
      </c>
      <c r="G27" s="5" t="n">
        <f aca="false">F27/0.3048</f>
        <v>13.1649179790025</v>
      </c>
      <c r="H27" s="0" t="s">
        <v>263</v>
      </c>
      <c r="I27" s="1" t="n">
        <v>38</v>
      </c>
    </row>
    <row r="28" customFormat="false" ht="15" hidden="false" customHeight="false" outlineLevel="0" collapsed="false">
      <c r="A28" s="1" t="s">
        <v>368</v>
      </c>
      <c r="B28" s="1" t="n">
        <v>10</v>
      </c>
      <c r="C28" s="1" t="s">
        <v>369</v>
      </c>
      <c r="D28" s="2" t="n">
        <v>619.424318</v>
      </c>
      <c r="E28" s="2" t="n">
        <v>623.436985</v>
      </c>
      <c r="F28" s="2" t="n">
        <f aca="false">E28-D28</f>
        <v>4.01266700000008</v>
      </c>
      <c r="G28" s="5" t="n">
        <f aca="false">F28/0.3048</f>
        <v>13.1649179790029</v>
      </c>
      <c r="H28" s="0" t="s">
        <v>263</v>
      </c>
      <c r="I28" s="1" t="n">
        <v>39</v>
      </c>
    </row>
    <row r="29" customFormat="false" ht="15" hidden="false" customHeight="false" outlineLevel="0" collapsed="false">
      <c r="A29" s="1" t="s">
        <v>370</v>
      </c>
      <c r="B29" s="1" t="n">
        <v>10</v>
      </c>
      <c r="C29" s="1" t="s">
        <v>371</v>
      </c>
      <c r="D29" s="2" t="n">
        <v>623.436985</v>
      </c>
      <c r="E29" s="2" t="n">
        <v>627.449651</v>
      </c>
      <c r="F29" s="2" t="n">
        <f aca="false">E29-D29</f>
        <v>4.01266599999997</v>
      </c>
      <c r="G29" s="5" t="n">
        <f aca="false">F29/0.3048</f>
        <v>13.1649146981626</v>
      </c>
      <c r="H29" s="0" t="s">
        <v>263</v>
      </c>
      <c r="I29" s="1" t="n">
        <v>40</v>
      </c>
    </row>
    <row r="30" customFormat="false" ht="15" hidden="false" customHeight="false" outlineLevel="0" collapsed="false">
      <c r="A30" s="1" t="s">
        <v>372</v>
      </c>
      <c r="B30" s="1" t="n">
        <v>10</v>
      </c>
      <c r="C30" s="1" t="s">
        <v>373</v>
      </c>
      <c r="D30" s="2" t="n">
        <v>627.449651</v>
      </c>
      <c r="E30" s="2" t="n">
        <v>631.462318</v>
      </c>
      <c r="F30" s="2" t="n">
        <f aca="false">E30-D30</f>
        <v>4.01266699999997</v>
      </c>
      <c r="G30" s="5" t="n">
        <f aca="false">F30/0.3048</f>
        <v>13.1649179790025</v>
      </c>
      <c r="H30" s="0" t="s">
        <v>263</v>
      </c>
      <c r="I30" s="1" t="n">
        <v>41</v>
      </c>
    </row>
    <row r="31" customFormat="false" ht="15" hidden="false" customHeight="false" outlineLevel="0" collapsed="false">
      <c r="A31" s="1" t="s">
        <v>374</v>
      </c>
      <c r="B31" s="1" t="n">
        <v>10</v>
      </c>
      <c r="C31" s="1" t="s">
        <v>375</v>
      </c>
      <c r="D31" s="2" t="n">
        <v>631.462318</v>
      </c>
      <c r="E31" s="2" t="n">
        <v>635.474985</v>
      </c>
      <c r="F31" s="2" t="n">
        <f aca="false">E31-D31</f>
        <v>4.01266699999997</v>
      </c>
      <c r="G31" s="5" t="n">
        <f aca="false">F31/0.3048</f>
        <v>13.1649179790025</v>
      </c>
      <c r="H31" s="0" t="s">
        <v>263</v>
      </c>
      <c r="I31" s="1" t="n">
        <v>42</v>
      </c>
    </row>
    <row r="32" customFormat="false" ht="15" hidden="false" customHeight="false" outlineLevel="0" collapsed="false">
      <c r="A32" s="1" t="s">
        <v>376</v>
      </c>
      <c r="B32" s="1" t="n">
        <v>10</v>
      </c>
      <c r="C32" s="1" t="s">
        <v>377</v>
      </c>
      <c r="D32" s="2" t="n">
        <v>635.474985</v>
      </c>
      <c r="E32" s="2" t="n">
        <v>639.487651</v>
      </c>
      <c r="F32" s="2" t="n">
        <f aca="false">E32-D32</f>
        <v>4.01266600000008</v>
      </c>
      <c r="G32" s="5" t="n">
        <f aca="false">F32/0.3048</f>
        <v>13.164914698163</v>
      </c>
      <c r="H32" s="0" t="s">
        <v>263</v>
      </c>
      <c r="I32" s="1" t="n">
        <v>43</v>
      </c>
    </row>
    <row r="33" customFormat="false" ht="15" hidden="false" customHeight="false" outlineLevel="0" collapsed="false">
      <c r="A33" s="1" t="s">
        <v>378</v>
      </c>
      <c r="B33" s="1" t="n">
        <v>10</v>
      </c>
      <c r="C33" s="1" t="s">
        <v>379</v>
      </c>
      <c r="D33" s="2" t="n">
        <v>639.487651</v>
      </c>
      <c r="E33" s="2" t="n">
        <v>643.500318</v>
      </c>
      <c r="F33" s="2" t="n">
        <f aca="false">E33-D33</f>
        <v>4.01266699999997</v>
      </c>
      <c r="G33" s="5" t="n">
        <f aca="false">F33/0.3048</f>
        <v>13.1649179790025</v>
      </c>
      <c r="H33" s="0" t="s">
        <v>263</v>
      </c>
      <c r="I33" s="1" t="n">
        <v>44</v>
      </c>
    </row>
    <row r="34" customFormat="false" ht="15" hidden="false" customHeight="false" outlineLevel="0" collapsed="false">
      <c r="A34" s="1" t="s">
        <v>380</v>
      </c>
      <c r="B34" s="1" t="n">
        <v>10</v>
      </c>
      <c r="C34" s="1" t="s">
        <v>381</v>
      </c>
      <c r="D34" s="2" t="n">
        <v>643.500318</v>
      </c>
      <c r="E34" s="2" t="n">
        <v>647.512985</v>
      </c>
      <c r="F34" s="2" t="n">
        <f aca="false">E34-D34</f>
        <v>4.01266699999997</v>
      </c>
      <c r="G34" s="5" t="n">
        <f aca="false">F34/0.3048</f>
        <v>13.1649179790025</v>
      </c>
      <c r="H34" s="0" t="s">
        <v>263</v>
      </c>
      <c r="I34" s="1" t="n">
        <v>45</v>
      </c>
    </row>
    <row r="35" customFormat="false" ht="15" hidden="false" customHeight="false" outlineLevel="0" collapsed="false">
      <c r="A35" s="1" t="s">
        <v>382</v>
      </c>
      <c r="B35" s="1" t="n">
        <v>10</v>
      </c>
      <c r="C35" s="1" t="s">
        <v>383</v>
      </c>
      <c r="D35" s="2" t="n">
        <v>647.512985</v>
      </c>
      <c r="E35" s="2" t="n">
        <v>651.525651</v>
      </c>
      <c r="F35" s="2" t="n">
        <f aca="false">E35-D35</f>
        <v>4.01266600000008</v>
      </c>
      <c r="G35" s="5" t="n">
        <f aca="false">F35/0.3048</f>
        <v>13.164914698163</v>
      </c>
      <c r="H35" s="0" t="s">
        <v>263</v>
      </c>
      <c r="I35" s="1" t="n">
        <v>46</v>
      </c>
    </row>
    <row r="36" customFormat="false" ht="15" hidden="false" customHeight="false" outlineLevel="0" collapsed="false">
      <c r="A36" s="1" t="s">
        <v>384</v>
      </c>
      <c r="B36" s="1" t="n">
        <v>10</v>
      </c>
      <c r="C36" s="1" t="s">
        <v>385</v>
      </c>
      <c r="D36" s="2" t="n">
        <v>651.525651</v>
      </c>
      <c r="E36" s="2" t="n">
        <v>655.538318</v>
      </c>
      <c r="F36" s="2" t="n">
        <f aca="false">E36-D36</f>
        <v>4.01266699999997</v>
      </c>
      <c r="G36" s="5" t="n">
        <f aca="false">F36/0.3048</f>
        <v>13.1649179790025</v>
      </c>
      <c r="H36" s="0" t="s">
        <v>263</v>
      </c>
      <c r="I36" s="1" t="n">
        <v>47</v>
      </c>
    </row>
    <row r="37" customFormat="false" ht="15" hidden="false" customHeight="false" outlineLevel="0" collapsed="false">
      <c r="A37" s="1" t="s">
        <v>386</v>
      </c>
      <c r="B37" s="1" t="n">
        <v>10</v>
      </c>
      <c r="C37" s="1" t="s">
        <v>387</v>
      </c>
      <c r="D37" s="2" t="n">
        <v>655.538318</v>
      </c>
      <c r="E37" s="2" t="n">
        <v>659.550985</v>
      </c>
      <c r="F37" s="2" t="n">
        <f aca="false">E37-D37</f>
        <v>4.01266699999997</v>
      </c>
      <c r="G37" s="5" t="n">
        <f aca="false">F37/0.3048</f>
        <v>13.1649179790025</v>
      </c>
      <c r="H37" s="0" t="s">
        <v>309</v>
      </c>
    </row>
    <row r="38" customFormat="false" ht="15" hidden="false" customHeight="false" outlineLevel="0" collapsed="false">
      <c r="A38" s="1" t="s">
        <v>388</v>
      </c>
      <c r="B38" s="1" t="n">
        <v>10</v>
      </c>
      <c r="C38" s="1" t="s">
        <v>389</v>
      </c>
      <c r="D38" s="2" t="n">
        <v>659.550985</v>
      </c>
      <c r="E38" s="2" t="n">
        <v>663.563651</v>
      </c>
      <c r="F38" s="2" t="n">
        <f aca="false">E38-D38</f>
        <v>4.01266600000008</v>
      </c>
      <c r="G38" s="5" t="n">
        <f aca="false">F38/0.3048</f>
        <v>13.164914698163</v>
      </c>
      <c r="H38" s="0" t="s">
        <v>309</v>
      </c>
    </row>
    <row r="39" customFormat="false" ht="15" hidden="false" customHeight="false" outlineLevel="0" collapsed="false">
      <c r="A39" s="1" t="s">
        <v>390</v>
      </c>
      <c r="B39" s="1" t="n">
        <v>10</v>
      </c>
      <c r="C39" s="1" t="s">
        <v>391</v>
      </c>
      <c r="D39" s="2" t="n">
        <v>663.563651</v>
      </c>
      <c r="E39" s="2" t="n">
        <v>667.576318</v>
      </c>
      <c r="F39" s="2" t="n">
        <f aca="false">E39-D39</f>
        <v>4.01266699999997</v>
      </c>
      <c r="G39" s="5" t="n">
        <f aca="false">F39/0.3048</f>
        <v>13.1649179790025</v>
      </c>
      <c r="H39" s="0" t="s">
        <v>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LibreOffice/7.3.7.2$Linux_X86_64 LibreOffice_project/30$Build-2</Application>
  <AppVersion>15.0000</AppVersion>
  <Company>SLAC National Accelerator Laboratory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2017-11-03T14:45:36Z</dcterms:created>
  <dc:creator>Woodley, Mark D.</dc:creator>
  <dc:description/>
  <dc:language>en-US</dc:language>
  <cp:lastModifiedBy/>
  <cp:lastPrinted>2017-11-08T16:00:04Z</cp:lastPrinted>
  <dcterms:modified xsi:type="dcterms:W3CDTF">2025-03-31T14:50:30Z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